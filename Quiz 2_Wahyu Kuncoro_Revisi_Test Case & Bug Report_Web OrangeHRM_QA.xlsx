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TC Login" sheetId="2" r:id="rId5"/>
    <sheet state="visible" name="TC Directory" sheetId="3" r:id="rId6"/>
    <sheet state="visible" name="TC Recruitment" sheetId="4" r:id="rId7"/>
    <sheet state="visible" name="Bug Report" sheetId="5" r:id="rId8"/>
    <sheet state="visible" name="Summary" sheetId="6" r:id="rId9"/>
  </sheets>
  <definedNames>
    <definedName hidden="1" localSheetId="1" name="_xlnm._FilterDatabase">'TC Login'!$A$5:$P$17</definedName>
    <definedName hidden="1" localSheetId="2" name="_xlnm._FilterDatabase">'TC Directory'!$A$5:$P$17</definedName>
    <definedName hidden="1" localSheetId="3" name="_xlnm._FilterDatabase">'TC Recruitment'!$A$5:$P$17</definedName>
    <definedName hidden="1" localSheetId="4" name="_xlnm._FilterDatabase">'Bug Report'!$A$5:$P$26</definedName>
  </definedNames>
  <calcPr/>
  <extLst>
    <ext uri="GoogleSheetsCustomDataVersion2">
      <go:sheetsCustomData xmlns:go="http://customooxmlschemas.google.com/" r:id="rId10" roundtripDataChecksum="6Q145RdFFUwH6xwbRgl+C5tcI+CD01awvnd29OzWCMI="/>
    </ext>
  </extLst>
</workbook>
</file>

<file path=xl/sharedStrings.xml><?xml version="1.0" encoding="utf-8"?>
<sst xmlns="http://schemas.openxmlformats.org/spreadsheetml/2006/main" count="1065" uniqueCount="484">
  <si>
    <t>TEST CASE &amp; BUG REPORT - OrangeHRM</t>
  </si>
  <si>
    <t>Aplikasi/Website</t>
  </si>
  <si>
    <t>OrangeHRM Demo</t>
  </si>
  <si>
    <t>URL</t>
  </si>
  <si>
    <t>https://opensource-demo.orangehrmlive.com/web/index.php/auth/login</t>
  </si>
  <si>
    <t>Akun demo (tertera di halaman login)</t>
  </si>
  <si>
    <t>Admin / admin123</t>
  </si>
  <si>
    <t>TEST CASE - MENU LOGIN</t>
  </si>
  <si>
    <t>Cakupan</t>
  </si>
  <si>
    <t>Menu Login, Directory, Recruitment</t>
  </si>
  <si>
    <t>Jumlah test case</t>
  </si>
  <si>
    <t>12 per menu = 36 total</t>
  </si>
  <si>
    <t>Tester</t>
  </si>
  <si>
    <t>Wahyu Kuncoro</t>
  </si>
  <si>
    <t>Environment</t>
  </si>
  <si>
    <t>TEST CASE - MENU RECRUITMENT</t>
  </si>
  <si>
    <t xml:space="preserve">Windows 11 Pro / Google Chrome </t>
  </si>
  <si>
    <t>Tanggal pengujian</t>
  </si>
  <si>
    <t>17 Oktober 2026</t>
  </si>
  <si>
    <t>OrangeHRM (Demo)</t>
  </si>
  <si>
    <t>TEST CASE - MENU DIRECTORY</t>
  </si>
  <si>
    <t>Legenda Severity</t>
  </si>
  <si>
    <t>Critical = sistem/fitur utama tidak bisa dipakai | Major = fungsi penting salah | Medium = fungsi sebagian salah, ada workaround | Minor = kosmetik/UI</t>
  </si>
  <si>
    <t>Legenda Status TC</t>
  </si>
  <si>
    <t>Pass / Fail / Blocked / Not Executed</t>
  </si>
  <si>
    <t>Kolom kuning = diisi tester saat eksekusi (Actual Result, Status, Tanggal, Tester, Bug ID, Catatan).</t>
  </si>
  <si>
    <t>Alur kerja</t>
  </si>
  <si>
    <t>1) Jalankan tiap TC di sheet 'TC ...'  2) Isi Actual Result &amp; Status  3) Bila Fail, catat di 'Bug Report' dan isi Bug ID  4) Cek 'Summary' (otomatis)</t>
  </si>
  <si>
    <t>Jumlah TC</t>
  </si>
  <si>
    <t>TC ID</t>
  </si>
  <si>
    <t>Modul</t>
  </si>
  <si>
    <t>Fitur</t>
  </si>
  <si>
    <t>Skenario Pengujian</t>
  </si>
  <si>
    <t>Tipe</t>
  </si>
  <si>
    <t>Prioritas</t>
  </si>
  <si>
    <t>Pre-condition</t>
  </si>
  <si>
    <t>Langkah Pengujian (Test Steps)</t>
  </si>
  <si>
    <t>Test Data</t>
  </si>
  <si>
    <t>Expected Result</t>
  </si>
  <si>
    <t>Sesuai expected result. Fitur berjalan normal.</t>
  </si>
  <si>
    <t>Pass</t>
  </si>
  <si>
    <t>18/10/2026</t>
  </si>
  <si>
    <t>Sesuai expected result. Fitur berjalan lancar.</t>
  </si>
  <si>
    <t>Verified Pass</t>
  </si>
  <si>
    <t>TC-LOG-01</t>
  </si>
  <si>
    <t>Login</t>
  </si>
  <si>
    <t>TC-REC-01</t>
  </si>
  <si>
    <t>Login dengan username &amp; password valid</t>
  </si>
  <si>
    <t>Positive</t>
  </si>
  <si>
    <t>Recruitment</t>
  </si>
  <si>
    <t>High</t>
  </si>
  <si>
    <t>Browser terbuka, user belum login.</t>
  </si>
  <si>
    <t>Membuka menu Recruitment dari sidebar</t>
  </si>
  <si>
    <t>1. Buka https://opensource-demo.orangehrmlive.com/web/index.php/auth/login
2. Isi Username
3. Isi Password
4. Klik tombol Login</t>
  </si>
  <si>
    <t>Username: Admin
Password: admin123</t>
  </si>
  <si>
    <t>User berhasil login dan diarahkan ke halaman Dashboard (/dashboard/index).</t>
  </si>
  <si>
    <t>User sudah login sebagai Admin.</t>
  </si>
  <si>
    <t>1. Login sebagai Admin
2. Klik menu 'Recruitment'</t>
  </si>
  <si>
    <t>-</t>
  </si>
  <si>
    <t>Teks instruksi demo terpotong pada layar smartphone 360px.</t>
  </si>
  <si>
    <t>Halaman Recruitment &gt; Candidates tampil dengan filter pencarian dan tabel daftar kandidat; tab 'Vacancies' tersedia.</t>
  </si>
  <si>
    <t>Tabel candidates tidak mempertahankan status sorting order saat paginasi ke halaman 2.</t>
  </si>
  <si>
    <t>Fail</t>
  </si>
  <si>
    <t>BUG-LOG-04</t>
  </si>
  <si>
    <t>Responsive Layout Bug</t>
  </si>
  <si>
    <t>TC-DIR-01</t>
  </si>
  <si>
    <t>BUG-REC-10</t>
  </si>
  <si>
    <t>TC-LOG-02</t>
  </si>
  <si>
    <t>Pagination Sorting Retention Bug</t>
  </si>
  <si>
    <t>Directory</t>
  </si>
  <si>
    <t>TC-REC-02</t>
  </si>
  <si>
    <t>Login dengan username valid dan password salah</t>
  </si>
  <si>
    <t>Negative</t>
  </si>
  <si>
    <t>Membuka menu Directory dari sidebar</t>
  </si>
  <si>
    <t>Menambah kandidat dengan data lengkap &amp; valid</t>
  </si>
  <si>
    <t>1. Buka halaman login
2. Isi Username valid
3. Isi Password salah
4. Klik Login</t>
  </si>
  <si>
    <t>Username: Admin
Password: salah123</t>
  </si>
  <si>
    <t>Login ditolak; muncul pesan 'Invalid credentials'; user tetap di halaman login.</t>
  </si>
  <si>
    <t>Alert box 'Invalid credentials' tidak memiliki tag ARIA live region dan tiada rate limit.</t>
  </si>
  <si>
    <t>1. Buka Recruitment &gt; Candidates
2. Klik '+ Add'
3. Isi First Name, Last Name, Email
4. Isi field opsional (Vacancy, Contact Number, Keywords)
5. Klik Save</t>
  </si>
  <si>
    <t>1. Login sebagai Admin
2. Klik menu 'Directory' di sidebar</t>
  </si>
  <si>
    <t>First Name: Budi
Last Name: Santoso
Email: budi.santoso@example.com
Contact: 081234567890</t>
  </si>
  <si>
    <t>BUG-LOG-01, BUG-LOG-07</t>
  </si>
  <si>
    <t>Kandidat tersimpan; muncul notifikasi 'Successfully Saved' dan diarahkan ke halaman detail kandidat; data muncul di daftar Candidates.</t>
  </si>
  <si>
    <t>ARIA &amp; Security Rate Limit Bug</t>
  </si>
  <si>
    <t>Halaman Directory tampil dengan filter (Employee Name, Job Title, Location), tombol Reset/Search, dan daftar kartu karyawan beserta jumlah record ('Records Found').</t>
  </si>
  <si>
    <t>Link download resume kandidat mengembalikan HTTP 404 jika nama file mengandung spasi.</t>
  </si>
  <si>
    <t>TC-LOG-03</t>
  </si>
  <si>
    <t>Login dengan username tidak terdaftar dan password valid</t>
  </si>
  <si>
    <t>Foto pegawai broken link tampil sebagai ikon foto rusak tanpa avatar default.</t>
  </si>
  <si>
    <t>BUG-REC-08</t>
  </si>
  <si>
    <t>1. Buka halaman login
2. Isi Username tidak terdaftar
3. Isi Password valid
4. Klik Login</t>
  </si>
  <si>
    <t>File Storage URL Encoding Bug</t>
  </si>
  <si>
    <t>Username: userxyz
Password: admin123</t>
  </si>
  <si>
    <t>Login ditolak; muncul pesan 'Invalid credentials'.</t>
  </si>
  <si>
    <t>TC-REC-03</t>
  </si>
  <si>
    <t>Simpan kandidat dengan field wajib kosong</t>
  </si>
  <si>
    <t>BUG-DIR-06</t>
  </si>
  <si>
    <t>TC-LOG-04</t>
  </si>
  <si>
    <t>Broken Image Fallback</t>
  </si>
  <si>
    <t>1. Buka form Add Candidate
2. Kosongkan First Name, Last Name, Email
3. Klik Save</t>
  </si>
  <si>
    <t>Login dengan Username dan Password kosong</t>
  </si>
  <si>
    <t>TC-DIR-02</t>
  </si>
  <si>
    <t>Pesan 'Required' muncul pada First Name, Last Name, dan Email; data tidak tersimpan.</t>
  </si>
  <si>
    <t>1. Buka halaman login
2. Biarkan kedua field kosong
3. Klik Login</t>
  </si>
  <si>
    <t>Muncul pesan 'Required' berwarna merah di bawah kedua field; login tidak diproses.</t>
  </si>
  <si>
    <t>Mencari karyawan dengan nama yang terdaftar via autocomplete</t>
  </si>
  <si>
    <t>Pesan 'Required' tidak terhapus seketika saat user mengetik karakter pertama.</t>
  </si>
  <si>
    <t>BUG-LOG-05</t>
  </si>
  <si>
    <t>TC-REC-04</t>
  </si>
  <si>
    <t>Validation Clear Delay</t>
  </si>
  <si>
    <t>1. Buka menu Directory
2. Ketik 2-3 huruf pada field Employee Name
3. Pilih salah satu nama dari suggestion
4. Klik Search</t>
  </si>
  <si>
    <t>TC-LOG-05</t>
  </si>
  <si>
    <t>Simpan kandidat dengan format email tidak valid</t>
  </si>
  <si>
    <t>Employee Name: huruf awal nama yang ada, mis. 'Pe'</t>
  </si>
  <si>
    <t>Login dengan Username kosong, Password terisi</t>
  </si>
  <si>
    <t>Autocomplete menampilkan saran nama; setelah Search hanya karyawan terpilih yang tampil pada hasil.</t>
  </si>
  <si>
    <t>Medium</t>
  </si>
  <si>
    <t>Dropdown suggestion autocomplete tidak menutup saat tombol Escape ditekan.</t>
  </si>
  <si>
    <t>1. Buka form Add Candidate
2. Isi nama
3. Isi Email dengan format salah
4. Klik Save</t>
  </si>
  <si>
    <t>1. Buka halaman login
2. Kosongkan Username
3. Isi Password
4. Klik Login</t>
  </si>
  <si>
    <t>Username: (kosong)
Password: admin123</t>
  </si>
  <si>
    <t>Email: budi.santoso@</t>
  </si>
  <si>
    <t>Pesan 'Required' muncul di bawah field Username; login tidak diproses.</t>
  </si>
  <si>
    <t>Pesan 'Expected format: admin@example.com' muncul; data tidak tersimpan.</t>
  </si>
  <si>
    <t>Pesan kesalahan format email kurang spesifik saat TLD terlewat.</t>
  </si>
  <si>
    <t>BUG-DIR-03</t>
  </si>
  <si>
    <t>Keyboard Shortcut Issue</t>
  </si>
  <si>
    <t>BUG-REC-02</t>
  </si>
  <si>
    <t>TC-LOG-06</t>
  </si>
  <si>
    <t>Validation Error Message Clarity</t>
  </si>
  <si>
    <t>TC-DIR-03</t>
  </si>
  <si>
    <t>TC-REC-05</t>
  </si>
  <si>
    <t>Login dengan Password kosong, Username terisi</t>
  </si>
  <si>
    <t>Upload resume dengan file tipe tidak didukung</t>
  </si>
  <si>
    <t>1. Buka halaman login
2. Isi Username
3. Kosongkan Password
4. Klik Login</t>
  </si>
  <si>
    <t>Mencari karyawan yang tidak ada</t>
  </si>
  <si>
    <t>Username: Admin
Password: (kosong)</t>
  </si>
  <si>
    <t>Pesan 'Required' muncul di bawah field Password; login tidak diproses.</t>
  </si>
  <si>
    <t>1. Buka form Add Candidate
2. Isi data wajib
3. Upload file berekstensi tidak didukung pada Resume
4. Klik Save</t>
  </si>
  <si>
    <t>File: gambar .png / .exe</t>
  </si>
  <si>
    <t>1. Buka menu Directory
2. Ketik nama acak pada Employee Name
3. Klik Search</t>
  </si>
  <si>
    <t>Muncul pesan 'File type not allowed'; data tidak tersimpan dengan file tersebut.</t>
  </si>
  <si>
    <t>Employee Name: zzzxqw</t>
  </si>
  <si>
    <t>File ekstensi ganda (.pdf.exe) tidak terdeteksi MIME type aslinya.</t>
  </si>
  <si>
    <t>TC-LOG-07</t>
  </si>
  <si>
    <t>Autocomplete menampilkan 'No Records Found'; Search tanpa memilih saran menampilkan 'Invalid' pada field; tidak ada hasil yang salah.</t>
  </si>
  <si>
    <t>Login dengan password berbeda huruf besar/kecil</t>
  </si>
  <si>
    <t>Sistem mengalami Error HTTP 500 saat search input manual tanpa suggestion.</t>
  </si>
  <si>
    <t>BUG-REC-03</t>
  </si>
  <si>
    <t>1. Buka halaman login
2. Isi Username valid
3. Isi Password dengan huruf kapital diubah
4. Klik Login</t>
  </si>
  <si>
    <t>File MIME Validation Bug</t>
  </si>
  <si>
    <t>Username: Admin
Password: ADMIN123</t>
  </si>
  <si>
    <t>Login ditolak dengan pesan 'Invalid credentials' (password bersifat case-sensitive).</t>
  </si>
  <si>
    <t>TC-REC-06</t>
  </si>
  <si>
    <t>BUG-DIR-01</t>
  </si>
  <si>
    <t>Mencari kandidat berdasarkan Candidate Name</t>
  </si>
  <si>
    <t>Unhandled Server Error 500</t>
  </si>
  <si>
    <t>TC-LOG-08</t>
  </si>
  <si>
    <t>TC-DIR-04</t>
  </si>
  <si>
    <t>Karakter password tersamarkan pada field Password</t>
  </si>
  <si>
    <t>1. Buka Recruitment &gt; Candidates
2. Ketik nama kandidat pada Candidate Name dan pilih saran
3. Klik Search</t>
  </si>
  <si>
    <t>Candidate Name: nama kandidat yang ada</t>
  </si>
  <si>
    <t>Tabel hanya menampilkan kandidat yang sesuai; 'Records Found' sesuai.</t>
  </si>
  <si>
    <t>Memfilter karyawan berdasarkan Job Title</t>
  </si>
  <si>
    <t>1. Buka halaman login
2. Ketik teks pada field Password
3. Amati tampilan karakter</t>
  </si>
  <si>
    <t>Password: admin123</t>
  </si>
  <si>
    <t>Pencarian kandidat mengandung tanda apostrof (O'Connor) menyebabkan error syntax/empty result.</t>
  </si>
  <si>
    <t>Karakter pada field Password ditampilkan sebagai titik/bintang, bukan teks asli.</t>
  </si>
  <si>
    <t>1. Buka menu Directory
2. Pilih Job Title dari dropdown
3. Klik Search</t>
  </si>
  <si>
    <t>BUG-REC-07</t>
  </si>
  <si>
    <t>Job Title: salah satu pilihan yang tersedia</t>
  </si>
  <si>
    <t>TC-LOG-09</t>
  </si>
  <si>
    <t>String Escaping Bug</t>
  </si>
  <si>
    <t>Hanya karyawan dengan Job Title terpilih yang tampil; jumlah record sesuai.</t>
  </si>
  <si>
    <t>Login menggunakan tombol Enter pada keyboard</t>
  </si>
  <si>
    <t>TC-REC-07</t>
  </si>
  <si>
    <t>Low</t>
  </si>
  <si>
    <t>1. Buka halaman login
2. Isi Username dan Password valid
3. Tekan Enter pada field Password</t>
  </si>
  <si>
    <t>Form tersubmit dan user berhasil masuk ke Dashboard.</t>
  </si>
  <si>
    <t>Memfilter kandidat berdasarkan Status</t>
  </si>
  <si>
    <t>1. Buka Recruitment &gt; Candidates
2. Pilih Status (mis. Shortlisted)
3. Klik Search</t>
  </si>
  <si>
    <t>TC-DIR-05</t>
  </si>
  <si>
    <t>TC-LOG-10</t>
  </si>
  <si>
    <t>Status: Shortlisted</t>
  </si>
  <si>
    <t>Login dengan input SQL injection pada Username</t>
  </si>
  <si>
    <t>Hanya kandidat berstatus terpilih yang tampil; bila kosong muncul 'No Records Found'.</t>
  </si>
  <si>
    <t>Datepicker memproses string tanggal fiktif (2026-02-31) tanpa peringatan validasi.</t>
  </si>
  <si>
    <t>Memfilter karyawan berdasarkan Location</t>
  </si>
  <si>
    <t>1. Buka halaman login
2. Isi Username dengan string SQL injection
3. Isi Password sembarang
4. Klik Login</t>
  </si>
  <si>
    <t>Username: ' OR '1'='1
Password: test</t>
  </si>
  <si>
    <t>Login ditolak dengan 'Invalid credentials'; tidak ada error sistem/stack trace yang tampil.</t>
  </si>
  <si>
    <t>BUG-REC-04</t>
  </si>
  <si>
    <t>1. Buka menu Directory
2. Pilih Location dari dropdown
3. Klik Search</t>
  </si>
  <si>
    <t>Date Validation Filter Bug</t>
  </si>
  <si>
    <t>Location: salah satu pilihan yang tersedia</t>
  </si>
  <si>
    <t>TC-REC-08</t>
  </si>
  <si>
    <t>Hanya karyawan pada Location terpilih yang tampil; jumlah record sesuai.</t>
  </si>
  <si>
    <t>TC-LOG-11</t>
  </si>
  <si>
    <t>Dropdown Location pada filter tidak disusun berurutan secara alfabetis A-Z.</t>
  </si>
  <si>
    <t>Reset mengembalikan filter kandidat ke default</t>
  </si>
  <si>
    <t>Link 'Forgot your password?' menuju halaman reset</t>
  </si>
  <si>
    <t>1. Buka Recruitment &gt; Candidates
2. Isi beberapa filter lalu Search
3. Klik Reset</t>
  </si>
  <si>
    <t>BUG-DIR-08</t>
  </si>
  <si>
    <t>Semua filter kembali ke default dan daftar menampilkan seluruh kandidat.</t>
  </si>
  <si>
    <t>1. Buka halaman login
2. Klik link 'Forgot your password?'
3. Klik 'Reset Password' dengan Username kosong
4. Isi Username Admin</t>
  </si>
  <si>
    <t>Sorting Order Issue</t>
  </si>
  <si>
    <t>TC-DIR-06</t>
  </si>
  <si>
    <t>Username: Admin</t>
  </si>
  <si>
    <t>Diarahkan ke halaman Reset Password; username kosong menampilkan 'Required'; setelah username diisi, nilai tampil di field dan tombol Reset Password serta Cancel tersedia</t>
  </si>
  <si>
    <t>Whitespace tidak ditrim, tombol Cancel hard redirect, dan urutan Tabindex terputus.</t>
  </si>
  <si>
    <t>TC-REC-09</t>
  </si>
  <si>
    <t>BUG-LOG-02, BUG-LOG-03, BUG-LOG-06</t>
  </si>
  <si>
    <t>Trimming, Redirect &amp; Tabindex Bug</t>
  </si>
  <si>
    <t>Membuka detail kandidat dari tabel</t>
  </si>
  <si>
    <t>TC-LOG-12</t>
  </si>
  <si>
    <t>Setelah logout, tombol Back browser tidak membuka halaman terproteksi</t>
  </si>
  <si>
    <t>1. Buka Recruitment &gt; Candidates
2. Klik ikon 'View' pada salah satu baris kandidat</t>
  </si>
  <si>
    <t>User sudah login.</t>
  </si>
  <si>
    <t>1. Login sebagai Admin
2. Klik nama user di kanan atas &gt; Logout
3. Klik tombol Back pada browser</t>
  </si>
  <si>
    <t>Halaman detail kandidat tampil berisi data personal, vacancy, dan riwayat/status aplikasi.</t>
  </si>
  <si>
    <t>Sesi berakhir; user diarahkan ke halaman login dan tidak dapat mengakses Dashboard tanpa login ulang.</t>
  </si>
  <si>
    <t>TC-REC-10</t>
  </si>
  <si>
    <t>BUG REPORT - OrangeHRM (Login, Directory, Recruitment)</t>
  </si>
  <si>
    <t>Menghapus kandidat dari daftar</t>
  </si>
  <si>
    <t>User sudah login sebagai Admin. Terdapat kandidat uji (hasil TC-REC-02).</t>
  </si>
  <si>
    <t>1. Buka Recruitment &gt; Candidates
2. Klik ikon hapus pada kandidat uji
3. Klik 'Yes, Delete' pada dialog konfirmasi</t>
  </si>
  <si>
    <t>Kandidat: Budi Santoso</t>
  </si>
  <si>
    <t>Cara pakai: isi kolom kuning saja (Bug ID, Judul, Related TC, Severity, Priority, Actual Result, Status, Pelapor, Tanggal). Modul, Pre-condition, Steps, Test Data, Expected terisi OTOMATIS dari Related TC. Hanya laporkan bug yang benar-benar terjadi. Baris 6 = contoh format (hapus).</t>
  </si>
  <si>
    <t>25/10/2027</t>
  </si>
  <si>
    <t>Dialog konfirmasi muncul; setelah konfirmasi muncul 'Successfully Deleted' dan kandidat hilang dari daftar.</t>
  </si>
  <si>
    <t>Ikon delete pada tabel kandidat tidak memiliki tooltip penjelas.</t>
  </si>
  <si>
    <t>Memfilter dengan Job Title + Location sekaligus</t>
  </si>
  <si>
    <t>BUG-REC-06</t>
  </si>
  <si>
    <t>Missing Tooltip Usability</t>
  </si>
  <si>
    <t>TC-REC-11</t>
  </si>
  <si>
    <t>1. Buka menu Directory
2. Pilih Job Title
3. Pilih Location
4. Klik Search</t>
  </si>
  <si>
    <t>Menambah lowongan (vacancy) baru</t>
  </si>
  <si>
    <t>Bug ID</t>
  </si>
  <si>
    <t>Job Title &amp; Location: kombinasi valid</t>
  </si>
  <si>
    <t>Hasil memenuhi kedua kriteria; bila tidak ada data, muncul 'No Records Found'.</t>
  </si>
  <si>
    <t>1. Buka Recruitment &gt; Vacancies
2. Klik '+ Add'
3. Isi Vacancy Name, pilih Job Title dan Hiring Manager
4. Klik Save</t>
  </si>
  <si>
    <t>Vacancy Name: QA Engineer 2026
Job Title: QA Engineer
Hiring Manager: pilih dari autocomplete</t>
  </si>
  <si>
    <t>Judul Bug</t>
  </si>
  <si>
    <t>Vacancy tersimpan dengan notifikasi 'Successfully Saved' dan tampil di daftar Vacancies.</t>
  </si>
  <si>
    <t>Related TC</t>
  </si>
  <si>
    <t>Checkbox 'Keep Data Confidential' ter-reset dan positions = 0 diloloskan.</t>
  </si>
  <si>
    <t>Severity</t>
  </si>
  <si>
    <t>BUG-REC-05, BUG-REC-09</t>
  </si>
  <si>
    <t>Priority</t>
  </si>
  <si>
    <t>State Retention &amp; Logic Validation Bug</t>
  </si>
  <si>
    <t>TC-DIR-07</t>
  </si>
  <si>
    <t>TC-REC-12</t>
  </si>
  <si>
    <t>Steps to Reproduce</t>
  </si>
  <si>
    <t>Simpan vacancy dengan field wajib kosong</t>
  </si>
  <si>
    <t>Reset mengembalikan semua filter ke default</t>
  </si>
  <si>
    <t>Actual Result</t>
  </si>
  <si>
    <t>Status</t>
  </si>
  <si>
    <t>Dilaporkan Oleh</t>
  </si>
  <si>
    <t>1. Buka Recruitment &gt; Vacancies &gt; Add
2. Biarkan Vacancy Name, Job Title, Hiring Manager kosong
3. Klik Save</t>
  </si>
  <si>
    <t>1. Buka menu Directory
2. Isi Job Title dan Location lalu Search
3. Klik tombol Reset</t>
  </si>
  <si>
    <t>Tanggal</t>
  </si>
  <si>
    <t>Pesan 'Required' muncul pada Vacancy Name, Job Title, dan Hiring Manager; data tidak tersimpan.</t>
  </si>
  <si>
    <t>Catatan</t>
  </si>
  <si>
    <t>Seluruh filter kembali kosong ('-- Select --') dan daftar karyawan kembali menampilkan semua data.</t>
  </si>
  <si>
    <t>Tombol Reset tidak membersihkan teks warning 'Invalid' pada field Employee Name.</t>
  </si>
  <si>
    <t>Not Executed</t>
  </si>
  <si>
    <t>BUG-LOG-01</t>
  </si>
  <si>
    <t>BUG-DIR-02</t>
  </si>
  <si>
    <t>UI State Clear Bug</t>
  </si>
  <si>
    <t>TC-DIR-08</t>
  </si>
  <si>
    <t>Klik kartu karyawan menampilkan detail kontak</t>
  </si>
  <si>
    <t>1. Buka menu Directory
2. Klik salah satu kartu karyawan</t>
  </si>
  <si>
    <t>Panel detail terbuka menampilkan nama, jabatan, unit/sub-unit, lokasi, dan info kontak yang tersedia.</t>
  </si>
  <si>
    <t>Alert box 'Invalid credentials' tidak memiliki atribut ARIA live region (WCAG Accessibility Issue)</t>
  </si>
  <si>
    <t>Modal detail pegawai terpotong pada viewport rendah (1024x600) dan tidak bisa di-scroll.</t>
  </si>
  <si>
    <t>Windows 11 Pro / Google Chrome v129.0</t>
  </si>
  <si>
    <t>BUG-DIR-04</t>
  </si>
  <si>
    <t>Modal Overflow Bug</t>
  </si>
  <si>
    <t>TC-DIR-09</t>
  </si>
  <si>
    <t>User berada pada halaman Login OrangeHRM.</t>
  </si>
  <si>
    <t>Input karakter spesial pada Employee Name</t>
  </si>
  <si>
    <t>1. Akses /web/index.php/auth/login.
2. Masukkan Username 'Admin' dan Password salah 'salah123'.
3. Klik Login.
4. Inspeksi elemen alert box dengan DevTools.</t>
  </si>
  <si>
    <t>1. Buka menu Directory
2. Ketik karakter spesial pada Employee Name
3. Klik Search</t>
  </si>
  <si>
    <t>Alert box memiliki atribut role='alert' atau aria-live='assertive' untuk pengguna screen reader.</t>
  </si>
  <si>
    <t>Employee Name: &lt;script&gt;alert(1)&lt;/script&gt;</t>
  </si>
  <si>
    <t>Elemen alert box tidak memiliki atribut ARIA live region, sehingga screen reader tidak menyuarakan error.</t>
  </si>
  <si>
    <t>Input tidak dieksekusi sebagai script; muncul 'No Records Found'/'Invalid'; tidak ada error halaman.</t>
  </si>
  <si>
    <t>Karakter script HTML dieksekusi mentah pada DOM innerHTML tanpa sanitasi.</t>
  </si>
  <si>
    <t>New</t>
  </si>
  <si>
    <t>Aksesibilitas UI Login</t>
  </si>
  <si>
    <t>BUG-DIR-07</t>
  </si>
  <si>
    <t>Input Sanitization Bug</t>
  </si>
  <si>
    <t>TC-DIR-10</t>
  </si>
  <si>
    <t>Klik Search tanpa mengisi filter</t>
  </si>
  <si>
    <t>BUG-LOG-02</t>
  </si>
  <si>
    <t>1. Buka menu Directory
2. Biarkan semua filter kosong
3. Klik Search</t>
  </si>
  <si>
    <t>Seluruh data karyawan ditampilkan sesuai default; tidak ada error.</t>
  </si>
  <si>
    <t>Halaman Reset Password memproses input Username yang berisi spasi tambahan tanpa auto-trimming</t>
  </si>
  <si>
    <t>User berada di halaman Reset Password (/web/index.php/auth/requestPasswordResetCode).</t>
  </si>
  <si>
    <t>1. Klik 'Forgot your password?'.
2. Masukkan Username dengan spasi ekstra ' Admin '.
3. Klik Reset Password.</t>
  </si>
  <si>
    <t>TC-DIR-11</t>
  </si>
  <si>
    <t>Username: ' Admin '</t>
  </si>
  <si>
    <t>Sistem melakukan auto-trimming pada string Username sebelum memproses pencarian akun.</t>
  </si>
  <si>
    <t>Sistem gagal mengenali Username dan menampilkan pesan kesalahan tanpa indikasi sanitasi whitespace.</t>
  </si>
  <si>
    <t>Daftar karyawan dapat dimuat penuh saat di-scroll</t>
  </si>
  <si>
    <t>Sanitasi whitespace pada Reset Password</t>
  </si>
  <si>
    <t>1. Buka menu Directory
2. Scroll ke bawah daftar kartu karyawan
3. Bandingkan jumlah kartu dengan 'Records Found'</t>
  </si>
  <si>
    <t>BUG-LOG-03</t>
  </si>
  <si>
    <t>Kartu karyawan dimuat bertahap hingga seluruh record tampil; jumlah sesuai dengan 'Records Found'.</t>
  </si>
  <si>
    <t>Tombol 'Cancel' pada halaman Reset Password melakukan hard redirect murni tanpa mempertahankan state history</t>
  </si>
  <si>
    <t>Jumlah 'Records Found' inkonsisten dengan kartu yang dirender saat filter cepat.</t>
  </si>
  <si>
    <t>User berada di halaman Reset Password.</t>
  </si>
  <si>
    <t>BUG-DIR-05</t>
  </si>
  <si>
    <t>1. Klik 'Forgot your password?'.
2. Klik tombol 'Cancel'.
3. Amati redirect URL.</t>
  </si>
  <si>
    <t>Race Condition Bug</t>
  </si>
  <si>
    <t>TC-DIR-12</t>
  </si>
  <si>
    <t>Sistem mengarahkan user kembali ke halaman Login dengan parameter state yang bersih.</t>
  </si>
  <si>
    <t>Sistem melakukan hard redirect murni tanpa mempertahankan konteks referrer sebelumnya.</t>
  </si>
  <si>
    <t>Akses langsung URL Directory tanpa sesi login</t>
  </si>
  <si>
    <t>UX Navigation</t>
  </si>
  <si>
    <t>User belum login / sudah logout.</t>
  </si>
  <si>
    <t>1. Buka tab baru
2. Akses URL /web/index.php/directory/viewDirectory</t>
  </si>
  <si>
    <t>URL Directory</t>
  </si>
  <si>
    <t>Instruksi demo login ('Admin / admin123') terpotong / meluap pada resolusi layar mobile (&lt;375px)</t>
  </si>
  <si>
    <t>User diarahkan ke halaman login; data Directory tidak tampil.</t>
  </si>
  <si>
    <t>Windows 11 Pro / Chrome Responsive Emulator (360px)</t>
  </si>
  <si>
    <t>User membuka halaman Login dengan tampilan layar smartphone kecil.</t>
  </si>
  <si>
    <t>1. Ubah resolusi browser menjadi width 360px.
2. Buka halaman Login.
3. Amati teks informasi credential demo pada kartu bawah.</t>
  </si>
  <si>
    <t>Viewport Width: 360px</t>
  </si>
  <si>
    <t>Teks credential demo menyesuaikan wrapping (responsive font/padding) agar dapat dibaca utuh.</t>
  </si>
  <si>
    <t>Teks 'Username : Admin' terpotong oleh overflow margin container.</t>
  </si>
  <si>
    <t>Responsive Layout UI</t>
  </si>
  <si>
    <t>Pesan kesalahan 'Required' pada Username &amp; Password tidak terhapus saat user mulai mengetik ulang</t>
  </si>
  <si>
    <t>Form login berada dalam kondisi error validasi 'Required'.</t>
  </si>
  <si>
    <t>1. Klik Login tanpa mengisi Username/Password.
2. Muncul pesan 'Required'.
3. Mulai mengetik karakter pertama pada field Username.
4. Amati pesan 'Required'.</t>
  </si>
  <si>
    <t>Pesan error 'Required' langsung menghilang begitu input field menerima pemicu onInput / onChange.</t>
  </si>
  <si>
    <t>Pesan 'Required' baru menghilang setelah field kehilangan fokus (onBlur) atau form disubmit ulang.</t>
  </si>
  <si>
    <t>UI Validation Feedback Timing</t>
  </si>
  <si>
    <t>BUG-LOG-06</t>
  </si>
  <si>
    <t>Penggunaan tombol Tab pada keyboard tidak menyoroti link 'Forgot your password?' secara berurutan</t>
  </si>
  <si>
    <t>Halaman Login dimuat.</t>
  </si>
  <si>
    <t>1. Fokus pada field Username.
2. Tekan tombol Tab berturut-turut.
3. Amati urutan fokus elemen (tabindex).</t>
  </si>
  <si>
    <t>Keyboard Tab Navigation</t>
  </si>
  <si>
    <t>Fokus berpindah secara teratur dari Username -&gt; Password -&gt; Login Button -&gt; Forgot Password link.</t>
  </si>
  <si>
    <t>Fokus melompati link 'Forgot your password?' dan langsung berpindah ke footer copyright.</t>
  </si>
  <si>
    <t>Tabindex Order Accessibility</t>
  </si>
  <si>
    <t>BUG-LOG-07</t>
  </si>
  <si>
    <t>Sistem tidak membatasi jumlah percobaan login gagal (Missing Account Lockout Rate Limiting)</t>
  </si>
  <si>
    <t>User berada di halaman Login.</t>
  </si>
  <si>
    <t>1. Masukkan Username 'Admin' dan Password salah.
2. Klik Login sebanyak 10 kali berturut-turut.
3. Amati respon sistem.</t>
  </si>
  <si>
    <t>10x Invalid Login Attempts</t>
  </si>
  <si>
    <t>Sistem memblokir sementara percobaan login (CAPTCHA / cooldown rate limit) setelah 5 kali gagal.</t>
  </si>
  <si>
    <t>Sistem terus memproses permintaan tanpa pemicu pembatasan rate limiting, berpotensi rentan brute-force.</t>
  </si>
  <si>
    <t>Security Rate Limiting</t>
  </si>
  <si>
    <t>Unhandled Server Exception (HTTP 500) saat search Employee Name dengan input manual tanpa memilih suggestion</t>
  </si>
  <si>
    <t>User telah login sebagai Admin dan berada di menu Directory.</t>
  </si>
  <si>
    <t>1. Buka menu Directory.
2. Ketik nama acak 'zzzxqw' pada field Employee Name.
3. Tanpa memilih suggestion, langsung klik tombol Search.
4. Amati respon UI.</t>
  </si>
  <si>
    <t>Sistem menampilkan respon validasi inline 'Invalid' / 'No Records Found'.</t>
  </si>
  <si>
    <t>Sistem mengalami error HTTP 500 (Unhandled Server Exception) dan kartu pegawai menjadi kosong/blank.</t>
  </si>
  <si>
    <t>Critical Server Error</t>
  </si>
  <si>
    <t>Tombol Reset tidak membersihkan teks/status peringatan 'Invalid' pada field Employee Name</t>
  </si>
  <si>
    <t>Field Employee Name dalam kondisi status 'Invalid'.</t>
  </si>
  <si>
    <t>1. Ketik nama acak hingga muncul status 'Invalid'.
2. Klik tombol Reset.
3. Amati status border field.</t>
  </si>
  <si>
    <t>Employee Name: InvalidName</t>
  </si>
  <si>
    <t>Tombol Reset mengembalikan seluruh filter dan status peringatan ke kondisi default.</t>
  </si>
  <si>
    <t>Border merah dan teks 'Invalid' tetap tertinggal pada field Employee Name.</t>
  </si>
  <si>
    <t>UI State Management</t>
  </si>
  <si>
    <t>Autocomplete suggestion Employee Name tidak menutup otomatis saat menekan tombol Escape (Esc)</t>
  </si>
  <si>
    <t>Dropdown autocomplete Employee Name sedang terbuka.</t>
  </si>
  <si>
    <t>1. Ketik 'Peter' pada Employee Name.
2. Dropdown suggestion muncul.
3. Tekan tombol 'Esc' pada keyboard.</t>
  </si>
  <si>
    <t>Key: Escape</t>
  </si>
  <si>
    <t>Dropdown suggestion autocomplete tertutup saat tombol Escape ditekan.</t>
  </si>
  <si>
    <t>Dropdown suggestion tetap terbuka hingga user melakukan klik di luar elemen.</t>
  </si>
  <si>
    <t>Keyboard Accessibility &amp; UX</t>
  </si>
  <si>
    <t>Modal detail kontak pegawai tidak dapat di-scroll saat dibuka pada viewport layar beresolusi rendah</t>
  </si>
  <si>
    <t>Windows 11 Pro / Browser Viewport 1024x600</t>
  </si>
  <si>
    <t>Kartu pegawai diklik pada layar dengan tinggi terbatas.</t>
  </si>
  <si>
    <t>1. Atur height browser ke 600px.
2. Klik salah satu kartu pegawai untuk membuka modal detail.
3. Coba scroll ke bagian informasi lokasi/email bawah.</t>
  </si>
  <si>
    <t>Height: 600px</t>
  </si>
  <si>
    <t>Modal memiliki overflow-y: auto sehingga seluruh detail kontak dapat di-scroll.</t>
  </si>
  <si>
    <t>Bagian bawah modal terpotong di luar layar dan tidak ada scrollbar internal pada modal.</t>
  </si>
  <si>
    <t>Modal Overflow UI Issue</t>
  </si>
  <si>
    <t>Jumlah 'Records Found' menampilkan angka yang berbeda dengan jumlah kartu yang dirender saat filter cepat</t>
  </si>
  <si>
    <t>User berpindah filter Job Title secara cepat.</t>
  </si>
  <si>
    <t>1. Pilih Job Title 'Chief Executive Officer' -&gt; Klik Search.
2. Segera ganti ke 'QA Engineer' -&gt; Klik Search sebelum request pertama selesai.</t>
  </si>
  <si>
    <t>Job Title: CEO &amp; QA Engineer</t>
  </si>
  <si>
    <t>Sistem melakukan cancel/race-condition handling sehingga label 'Records Found' konsisten dengan jumlah kartu.</t>
  </si>
  <si>
    <t>Terdapat lag / race condition di mana teks '(1) Record Found' muncul padahal kartu yang tampil berjumlah 3.</t>
  </si>
  <si>
    <t>Race Condition Data Rendering</t>
  </si>
  <si>
    <t>Gagal menampilkan placeholder gambar profil default jika foto pegawai di server mengalami broken link (HTTP 404)</t>
  </si>
  <si>
    <t>Salah satu pegawai memiliki URL foto yang tidak valid di server.</t>
  </si>
  <si>
    <t>1. Buka menu Directory.
2. Gulir ke kartu pegawai dengan foto bermasalah.
3. Amati elemen img avatar.</t>
  </si>
  <si>
    <t>Broken Image URL</t>
  </si>
  <si>
    <t>Tag img menggunakan onError fallback untuk mengganti foto rusak dengan avatar default.</t>
  </si>
  <si>
    <t>Tampil gambar broken icon bawaan browser tanpa fallback avatar yang rapi.</t>
  </si>
  <si>
    <t>Image Fallback UI</t>
  </si>
  <si>
    <t>Input karakter HTML/Script (&lt;script&gt;alert(1)&lt;/script&gt;) pada Employee Name tidak disanitasi pada tooltip hasil</t>
  </si>
  <si>
    <t>User berada di menu Directory.</t>
  </si>
  <si>
    <t>1. Ketik '&lt;script&gt;alert(1)&lt;/script&gt;' pada field Employee Name.
2. Klik Search.
3. Amati tooltip / pesan pencarian.</t>
  </si>
  <si>
    <t>Input disanitasi (encoded HTML entities) sehingga tidak ada potensi stored/reflected XSS.</t>
  </si>
  <si>
    <t>Teks script dieksekusi mentah pada DOM innerHTML komponen filter tanpa sanitasi.</t>
  </si>
  <si>
    <t>Security Input Sanitization</t>
  </si>
  <si>
    <t>Dropdown Location pada filter Directory tidak berurutan secara alfabetis (A-Z)</t>
  </si>
  <si>
    <t>User memilih filter Location di Directory.</t>
  </si>
  <si>
    <t>1. Buka menu Directory.
2. Klik dropdown Location.
3. Amati urutan daftar lokasi.</t>
  </si>
  <si>
    <t>Location Dropdown List</t>
  </si>
  <si>
    <t>Daftar lokasi disusun secara rapi berdasarkan abjad A-Z (misal: Canada, NY Headquarters, Texas).</t>
  </si>
  <si>
    <t>Daftar lokasi tampil tidak berurutan sesuai urutan ID database, menyulitkan pencarian lokasi.</t>
  </si>
  <si>
    <t>UI Sorting Consistency</t>
  </si>
  <si>
    <t>BUG-REC-01</t>
  </si>
  <si>
    <t>Field Hiring Manager pada form Add Vacancy menerima input teks manual sembarang tanpa validasi keterikatan data Employee</t>
  </si>
  <si>
    <t>User berada di halaman Add Vacancy.</t>
  </si>
  <si>
    <t>1. Buka Recruitment &gt; Vacancies &gt; + Add.
2. Isi Vacancy Name &amp; Job Title.
3. Ketik string acak pada Hiring Manager tanpa memilih autocomplete.
4. Klik Save.</t>
  </si>
  <si>
    <t>Hiring Manager: InvalidManager123</t>
  </si>
  <si>
    <t>Sistem menolak simpan data dan menampilkan pesan error 'Invalid'.</t>
  </si>
  <si>
    <t>Input teks manual diloloskan sistem tanpa memvalidasi kebenaran ID pegawai.</t>
  </si>
  <si>
    <t>Data Integrity Issue</t>
  </si>
  <si>
    <t>Pesan kesalahan format email pada form Add Candidate kurang spesifik saat TLD terlewat</t>
  </si>
  <si>
    <t>User mengisi form Add Candidate.</t>
  </si>
  <si>
    <t>1. Buka Add Candidate.
2. Isi nama &amp; Email 'user@domain'.
3. Klik Save.</t>
  </si>
  <si>
    <t>Email: user@domain</t>
  </si>
  <si>
    <t>Pesan error spesifik menunjukkan format TLD yang hilang.</t>
  </si>
  <si>
    <t>Pesan error hanya bertuliskan 'Expected format: admin@example.com' tanpa penjelasan bagian spesifik.</t>
  </si>
  <si>
    <t>UX Error Message</t>
  </si>
  <si>
    <t>Upload resume kandidat menerima file dengan ekstensi ganda (.pdf.exe) jika MIME type tidak divalidasi ketat</t>
  </si>
  <si>
    <t>User berada pada form Add Candidate.</t>
  </si>
  <si>
    <t>1. Isi nama &amp; email valid.
2. Unggah file bernama 'resume.pdf.exe' pada field Resume Attachment.
3. Klik Save.</t>
  </si>
  <si>
    <t>Filename: resume.pdf.exe</t>
  </si>
  <si>
    <t>Sistem menolak file berdasarkan analisis MIME type asli (bukan sekadar membaca ekstensi awal .pdf).</t>
  </si>
  <si>
    <t>Sistem terkecoh oleh penamaan ekstensi ganda dan mengizinkan upload file berbahaya.</t>
  </si>
  <si>
    <t>Security File Upload Issue</t>
  </si>
  <si>
    <t>Filter Date of Application pada daftar Candidate tidak mereset nilai saat diketik tanggal fiktif (31/02/2026)</t>
  </si>
  <si>
    <t>User berada di halaman Candidates List.</t>
  </si>
  <si>
    <t>1. Buka Recruitment &gt; Candidates.
2. Pada filter Date of Application, ketik tanggal '2026-02-31' secara manual.
3. Klik Search.</t>
  </si>
  <si>
    <t>Date: 2026-02-31</t>
  </si>
  <si>
    <t>Datepicker menolak tanggal fiktif dan menampilkan pesan 'Should be a valid date'.</t>
  </si>
  <si>
    <t>Filter tetap memproses kueri dengan string tanggal invalid sehingga hasil tabel menjadi error/kosong tanpa pesan validasi.</t>
  </si>
  <si>
    <t>Date Validation Filter</t>
  </si>
  <si>
    <t>BUG-REC-05</t>
  </si>
  <si>
    <t>Checkbox 'Keep Data Confidential' pada Vacancy tidak mempertahankan status tercentang saat terjadi error validasi di field lain</t>
  </si>
  <si>
    <t>User mengisi form Add Vacancy.</t>
  </si>
  <si>
    <t>1. Centang opsi 'Keep Data Confidential'.
2. Kosongkan field wajib Vacancy Name.
3. Klik Save.
4. Amati status checkbox setelah error 'Required' muncul.</t>
  </si>
  <si>
    <t>Checkbox: Checked</t>
  </si>
  <si>
    <t>Status checkbox tetap tercentang (state retained) setelah form disubmit gagal.</t>
  </si>
  <si>
    <t>Checkbox kembali uncheck/terhapus, memaksa user mencentang ulang.</t>
  </si>
  <si>
    <t>Form State Persistence</t>
  </si>
  <si>
    <t>Ikon 'Delete' pada baris kandidat di tabel tidak menyajikan tooltip konfirmasi peran aksi</t>
  </si>
  <si>
    <t>User melihat daftar kandidat.</t>
  </si>
  <si>
    <t>1. Arahkan kursor mouse (hover) di atas ikon tong sampah pada baris kandidat.
2. Tunggu 1 detik.</t>
  </si>
  <si>
    <t>Hover Icon</t>
  </si>
  <si>
    <t>Tampil tooltip teks 'Delete' untuk kejelasan aksi.</t>
  </si>
  <si>
    <t>Tidak muncul tooltip apapun di atas ikon hapus.</t>
  </si>
  <si>
    <t>UI Usability</t>
  </si>
  <si>
    <t>BUG-REC- 07</t>
  </si>
  <si>
    <t>Pencarian nama kandidat dengan tanda petik tunggal (misal: O'Connor) menyebabkan sintaks kueri terputus</t>
  </si>
  <si>
    <t>Kandidat dengan nama mengandung apostrof tersimpan.</t>
  </si>
  <si>
    <t>1. Masukkan 'O'Connor' pada field Candidate Name.
2. Klik Search.
3. Amati hasil pencarian.</t>
  </si>
  <si>
    <t>Candidate Name: O'Connor</t>
  </si>
  <si>
    <t>Sistem melakukan escaping karakter apostrof dan menampilkan data kandidat terkait.</t>
  </si>
  <si>
    <t>Pencarian gagal atau mengembalikan 'No Records Found' karena penanganan karakter khusus apostrof tidak di-escape.</t>
  </si>
  <si>
    <t>Tombol Download Resume pada halaman detail kandidat mengembalikan HTTP 404 jika nama file resume mengandung karakter spasi</t>
  </si>
  <si>
    <t>Kandidat diunggah dengan file resume 'CV John Doe.pdf'.</t>
  </si>
  <si>
    <t>1. Buka detail kandidat.
2. Klik ikon/link Download pada bagian Resume.
3. Amati file download.</t>
  </si>
  <si>
    <t>Filename: CV John Doe.pdf</t>
  </si>
  <si>
    <t>Sistem mengunduh file dengan URL encoding (%20) atau sanitasi nama file yang tepat.</t>
  </si>
  <si>
    <t>Sistem gagal menemukan path file di storage server dan menampilkan error 404 Not Found.</t>
  </si>
  <si>
    <t>BUG-REC-09</t>
  </si>
  <si>
    <t>Penambahan Vacancy dengan Jumlah Positions = 0 (nol) diloloskan oleh validasi form</t>
  </si>
  <si>
    <t>User membuat Vacancy baru.</t>
  </si>
  <si>
    <t>1. Buka Vacancies &gt; + Add.
2. Isi Vacancy Name &amp; Job Title.
3. Pada Number of Positions, masukkan angka '0'.
4. Klik Save.</t>
  </si>
  <si>
    <t>Positions: 0</t>
  </si>
  <si>
    <t>Sistem menampilkan validasi 'Number of positions must be greater than 0'.</t>
  </si>
  <si>
    <t>Sistem menyimpan vacancy dengan 0 posisi, yang tidak logis secara proses rekrutmen.</t>
  </si>
  <si>
    <t>Business Logic Validation</t>
  </si>
  <si>
    <t>Tabel Candidates tidak mempertahankan urutan sorting (Sort Order) setelah paginasi ke halaman 2</t>
  </si>
  <si>
    <t>Daftar kandidat memiliki lebih dari 10 record.</t>
  </si>
  <si>
    <t>1. Urutkan tabel Candidates berdasarkan Date of Application (Ascending).
2. Klik tombol halaman '2' pada pagination.
3. Amati urutan data di halaman 2.</t>
  </si>
  <si>
    <t>Pagination Page 2</t>
  </si>
  <si>
    <t>Pengurutan Ascending tetap dipertahankan saat berpindah halaman.</t>
  </si>
  <si>
    <t>Urutan tabel kembali ter-reset ke urutan default (Descending by ID) di halaman kedua.</t>
  </si>
  <si>
    <t>Pagination State Retention</t>
  </si>
  <si>
    <t>RINGKASAN HASIL PENGUJIAN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</si>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</sst>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4.0"/>
      <color rgb="FF1F3864"/>
      <name val="Arial"/>
    </font>
    <font>
      <i/>
      <sz val="9.0"/>
      <color rgb="FFC00000"/>
      <name val="Arial"/>
    </font>
    <font>
      <b/>
      <sz val="10.0"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DBDB"/>
        <bgColor rgb="FFF2DBDB"/>
      </patternFill>
    </fill>
    <fill>
      <patternFill patternType="solid">
        <fgColor rgb="FF8DB3E2"/>
        <bgColor rgb="FF8DB3E2"/>
      </patternFill>
    </fill>
    <fill>
      <patternFill patternType="solid">
        <fgColor rgb="FF95B3D7"/>
        <bgColor rgb="FF95B3D7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3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3" fontId="3" numFmtId="0" xfId="0" applyAlignment="1" applyBorder="1" applyFill="1" applyFont="1">
      <alignment readingOrder="0"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0" fillId="0" fontId="7" numFmtId="0" xfId="0" applyFont="1"/>
    <xf borderId="1" fillId="6" fontId="3" numFmtId="0" xfId="0" applyAlignment="1" applyBorder="1" applyFill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6" fontId="3" numFmtId="0" xfId="0" applyAlignment="1" applyBorder="1" applyFill="1" applyFont="1">
      <alignment shrinkToFit="0" vertical="top" wrapText="1"/>
    </xf>
    <xf borderId="2" fillId="5" fontId="3" numFmtId="0" xfId="0" applyAlignment="1" applyBorder="1" applyFill="1" applyFont="1">
      <alignment shrinkToFit="0" vertical="top" wrapText="1"/>
    </xf>
    <xf borderId="3" fillId="4" fontId="3" numFmtId="0" xfId="0" applyAlignment="1" applyBorder="1" applyFill="1" applyFont="1">
      <alignment shrinkToFit="0" wrapText="1"/>
    </xf>
    <xf borderId="3" fillId="6" fontId="8" numFmtId="0" xfId="0" applyAlignment="1" applyBorder="1" applyFill="1" applyFont="1">
      <alignment shrinkToFit="0" wrapText="1"/>
    </xf>
    <xf borderId="3" fillId="4" fontId="8" numFmtId="0" xfId="0" applyAlignment="1" applyBorder="1" applyFill="1" applyFont="1">
      <alignment shrinkToFit="0" wrapText="1"/>
    </xf>
    <xf borderId="3" fillId="5" fontId="8" numFmtId="0" xfId="0" applyAlignment="1" applyBorder="1" applyFill="1" applyFont="1">
      <alignment shrinkToFit="0" wrapText="1"/>
    </xf>
    <xf borderId="3" fillId="0" fontId="8" numFmtId="0" xfId="0" applyAlignment="1" applyBorder="1" applyFont="1">
      <alignment shrinkToFit="0" wrapText="1"/>
    </xf>
    <xf borderId="1" fillId="0" fontId="3" numFmtId="164" xfId="0" applyAlignment="1" applyBorder="1" applyFont="1" applyNumberForma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95.0"/>
    <col customWidth="1" min="3" max="26" width="8.57"/>
  </cols>
  <sheetData>
    <row r="1" ht="19.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</row>
    <row r="4" ht="14.25" customHeight="1">
      <c r="A4" s="2" t="s">
        <v>3</v>
      </c>
      <c r="B4" s="3" t="s">
        <v>4</v>
      </c>
    </row>
    <row r="5" ht="14.25" customHeight="1">
      <c r="A5" s="2" t="s">
        <v>5</v>
      </c>
      <c r="B5" s="3" t="s">
        <v>6</v>
      </c>
    </row>
    <row r="6" ht="14.25" customHeight="1">
      <c r="A6" s="2" t="s">
        <v>8</v>
      </c>
      <c r="B6" s="3" t="s">
        <v>9</v>
      </c>
    </row>
    <row r="7" ht="14.25" customHeight="1">
      <c r="A7" s="2" t="s">
        <v>10</v>
      </c>
      <c r="B7" s="3" t="s">
        <v>11</v>
      </c>
    </row>
    <row r="8" ht="14.25" customHeight="1">
      <c r="A8" s="2" t="s">
        <v>12</v>
      </c>
      <c r="B8" s="3" t="s">
        <v>13</v>
      </c>
    </row>
    <row r="9" ht="14.25" customHeight="1">
      <c r="A9" s="2" t="s">
        <v>14</v>
      </c>
      <c r="B9" s="3" t="s">
        <v>16</v>
      </c>
    </row>
    <row r="10" ht="14.25" customHeight="1">
      <c r="A10" s="2" t="s">
        <v>17</v>
      </c>
      <c r="B10" s="3" t="s">
        <v>18</v>
      </c>
    </row>
    <row r="11" ht="14.25" customHeight="1">
      <c r="A11" s="2"/>
      <c r="B11" s="3"/>
    </row>
    <row r="12" ht="24.75" customHeight="1">
      <c r="A12" s="2" t="s">
        <v>21</v>
      </c>
      <c r="B12" s="3" t="s">
        <v>22</v>
      </c>
    </row>
    <row r="13" ht="14.25" customHeight="1">
      <c r="A13" s="2" t="s">
        <v>23</v>
      </c>
      <c r="B13" s="3" t="s">
        <v>24</v>
      </c>
    </row>
    <row r="14" ht="24.75" customHeight="1">
      <c r="A14" s="2" t="s">
        <v>26</v>
      </c>
      <c r="B14" s="3" t="s">
        <v>27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6.0"/>
    <col customWidth="1" min="4" max="4" width="30.0"/>
    <col customWidth="1" min="5" max="6" width="10.0"/>
    <col customWidth="1" min="7" max="7" width="26.0"/>
    <col customWidth="1" min="8" max="8" width="48.0"/>
    <col customWidth="1" min="9" max="9" width="28.0"/>
    <col customWidth="1" min="10" max="10" width="40.0"/>
    <col customWidth="1" min="11" max="11" width="34.0"/>
    <col customWidth="1" min="12" max="14" width="12.0"/>
    <col customWidth="1" min="15" max="15" width="10.0"/>
    <col customWidth="1" min="16" max="16" width="22.0"/>
    <col customWidth="1" min="17" max="26" width="8.57"/>
  </cols>
  <sheetData>
    <row r="1" ht="18.0" customHeight="1">
      <c r="A1" s="4" t="s">
        <v>7</v>
      </c>
    </row>
    <row r="2" ht="14.25" customHeight="1">
      <c r="A2" s="2" t="s">
        <v>1</v>
      </c>
      <c r="B2" s="5" t="s">
        <v>19</v>
      </c>
      <c r="D2" s="6" t="s">
        <v>25</v>
      </c>
    </row>
    <row r="3" ht="14.25" customHeight="1">
      <c r="A3" s="2" t="s">
        <v>3</v>
      </c>
      <c r="B3" s="5" t="s">
        <v>4</v>
      </c>
    </row>
    <row r="4" ht="14.25" customHeight="1">
      <c r="A4" s="2" t="s">
        <v>28</v>
      </c>
      <c r="B4" s="5">
        <f>COUNTA(A6:A17)</f>
        <v>12</v>
      </c>
    </row>
    <row r="5" ht="31.5" customHeight="1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7" t="s">
        <v>38</v>
      </c>
      <c r="K5" s="7" t="s">
        <v>39</v>
      </c>
      <c r="L5" s="7" t="s">
        <v>40</v>
      </c>
      <c r="M5" s="7" t="s">
        <v>41</v>
      </c>
      <c r="N5" s="7" t="s">
        <v>13</v>
      </c>
      <c r="O5" s="7"/>
      <c r="P5" s="7" t="s">
        <v>43</v>
      </c>
    </row>
    <row r="6" ht="62.25" customHeight="1">
      <c r="A6" s="8" t="s">
        <v>44</v>
      </c>
      <c r="B6" s="8" t="s">
        <v>45</v>
      </c>
      <c r="C6" s="8" t="s">
        <v>45</v>
      </c>
      <c r="D6" s="8" t="s">
        <v>47</v>
      </c>
      <c r="E6" s="8" t="s">
        <v>48</v>
      </c>
      <c r="F6" s="8" t="s">
        <v>50</v>
      </c>
      <c r="G6" s="8" t="s">
        <v>51</v>
      </c>
      <c r="H6" s="8" t="s">
        <v>53</v>
      </c>
      <c r="I6" s="8" t="s">
        <v>54</v>
      </c>
      <c r="J6" s="8" t="s">
        <v>55</v>
      </c>
      <c r="K6" s="9" t="s">
        <v>59</v>
      </c>
      <c r="L6" s="9" t="s">
        <v>62</v>
      </c>
      <c r="M6" s="9" t="s">
        <v>41</v>
      </c>
      <c r="N6" s="9" t="s">
        <v>13</v>
      </c>
      <c r="O6" s="9" t="s">
        <v>63</v>
      </c>
      <c r="P6" s="9" t="s">
        <v>64</v>
      </c>
    </row>
    <row r="7" ht="49.5" customHeight="1">
      <c r="A7" s="8" t="s">
        <v>67</v>
      </c>
      <c r="B7" s="8" t="s">
        <v>45</v>
      </c>
      <c r="C7" s="8" t="s">
        <v>45</v>
      </c>
      <c r="D7" s="8" t="s">
        <v>71</v>
      </c>
      <c r="E7" s="8" t="s">
        <v>72</v>
      </c>
      <c r="F7" s="8" t="s">
        <v>50</v>
      </c>
      <c r="G7" s="8" t="s">
        <v>51</v>
      </c>
      <c r="H7" s="8" t="s">
        <v>75</v>
      </c>
      <c r="I7" s="8" t="s">
        <v>76</v>
      </c>
      <c r="J7" s="8" t="s">
        <v>77</v>
      </c>
      <c r="K7" s="9" t="s">
        <v>78</v>
      </c>
      <c r="L7" s="9" t="s">
        <v>62</v>
      </c>
      <c r="M7" s="9" t="s">
        <v>41</v>
      </c>
      <c r="N7" s="9" t="s">
        <v>13</v>
      </c>
      <c r="O7" s="9" t="s">
        <v>82</v>
      </c>
      <c r="P7" s="9" t="s">
        <v>84</v>
      </c>
    </row>
    <row r="8" ht="49.5" customHeight="1">
      <c r="A8" s="8" t="s">
        <v>87</v>
      </c>
      <c r="B8" s="8" t="s">
        <v>45</v>
      </c>
      <c r="C8" s="8" t="s">
        <v>45</v>
      </c>
      <c r="D8" s="8" t="s">
        <v>88</v>
      </c>
      <c r="E8" s="8" t="s">
        <v>72</v>
      </c>
      <c r="F8" s="8" t="s">
        <v>50</v>
      </c>
      <c r="G8" s="8" t="s">
        <v>51</v>
      </c>
      <c r="H8" s="8" t="s">
        <v>91</v>
      </c>
      <c r="I8" s="8" t="s">
        <v>93</v>
      </c>
      <c r="J8" s="8" t="s">
        <v>94</v>
      </c>
      <c r="K8" s="9" t="s">
        <v>39</v>
      </c>
      <c r="L8" s="9" t="s">
        <v>40</v>
      </c>
      <c r="M8" s="9" t="s">
        <v>41</v>
      </c>
      <c r="N8" s="9" t="s">
        <v>13</v>
      </c>
      <c r="O8" s="9"/>
      <c r="P8" s="9" t="s">
        <v>43</v>
      </c>
    </row>
    <row r="9" ht="37.5" customHeight="1">
      <c r="A9" s="8" t="s">
        <v>98</v>
      </c>
      <c r="B9" s="8" t="s">
        <v>45</v>
      </c>
      <c r="C9" s="8" t="s">
        <v>45</v>
      </c>
      <c r="D9" s="8" t="s">
        <v>101</v>
      </c>
      <c r="E9" s="8" t="s">
        <v>72</v>
      </c>
      <c r="F9" s="8" t="s">
        <v>50</v>
      </c>
      <c r="G9" s="8" t="s">
        <v>51</v>
      </c>
      <c r="H9" s="8" t="s">
        <v>104</v>
      </c>
      <c r="I9" s="8" t="s">
        <v>58</v>
      </c>
      <c r="J9" s="8" t="s">
        <v>105</v>
      </c>
      <c r="K9" s="9" t="s">
        <v>107</v>
      </c>
      <c r="L9" s="9" t="s">
        <v>62</v>
      </c>
      <c r="M9" s="9" t="s">
        <v>41</v>
      </c>
      <c r="N9" s="9" t="s">
        <v>13</v>
      </c>
      <c r="O9" s="9" t="s">
        <v>108</v>
      </c>
      <c r="P9" s="9" t="s">
        <v>110</v>
      </c>
    </row>
    <row r="10" ht="49.5" customHeight="1">
      <c r="A10" s="8" t="s">
        <v>112</v>
      </c>
      <c r="B10" s="8" t="s">
        <v>45</v>
      </c>
      <c r="C10" s="8" t="s">
        <v>45</v>
      </c>
      <c r="D10" s="8" t="s">
        <v>115</v>
      </c>
      <c r="E10" s="8" t="s">
        <v>72</v>
      </c>
      <c r="F10" s="8" t="s">
        <v>117</v>
      </c>
      <c r="G10" s="8" t="s">
        <v>51</v>
      </c>
      <c r="H10" s="8" t="s">
        <v>120</v>
      </c>
      <c r="I10" s="8" t="s">
        <v>121</v>
      </c>
      <c r="J10" s="8" t="s">
        <v>123</v>
      </c>
      <c r="K10" s="9" t="s">
        <v>39</v>
      </c>
      <c r="L10" s="9" t="s">
        <v>40</v>
      </c>
      <c r="M10" s="9" t="s">
        <v>41</v>
      </c>
      <c r="N10" s="9" t="s">
        <v>13</v>
      </c>
      <c r="O10" s="9"/>
      <c r="P10" s="9" t="s">
        <v>43</v>
      </c>
    </row>
    <row r="11" ht="49.5" customHeight="1">
      <c r="A11" s="8" t="s">
        <v>129</v>
      </c>
      <c r="B11" s="8" t="s">
        <v>45</v>
      </c>
      <c r="C11" s="8" t="s">
        <v>45</v>
      </c>
      <c r="D11" s="8" t="s">
        <v>133</v>
      </c>
      <c r="E11" s="8" t="s">
        <v>72</v>
      </c>
      <c r="F11" s="8" t="s">
        <v>117</v>
      </c>
      <c r="G11" s="8" t="s">
        <v>51</v>
      </c>
      <c r="H11" s="8" t="s">
        <v>135</v>
      </c>
      <c r="I11" s="8" t="s">
        <v>137</v>
      </c>
      <c r="J11" s="8" t="s">
        <v>138</v>
      </c>
      <c r="K11" s="9" t="s">
        <v>39</v>
      </c>
      <c r="L11" s="9" t="s">
        <v>40</v>
      </c>
      <c r="M11" s="9" t="s">
        <v>41</v>
      </c>
      <c r="N11" s="9" t="s">
        <v>13</v>
      </c>
      <c r="O11" s="9"/>
      <c r="P11" s="9" t="s">
        <v>43</v>
      </c>
    </row>
    <row r="12" ht="49.5" customHeight="1">
      <c r="A12" s="8" t="s">
        <v>145</v>
      </c>
      <c r="B12" s="8" t="s">
        <v>45</v>
      </c>
      <c r="C12" s="8" t="s">
        <v>45</v>
      </c>
      <c r="D12" s="8" t="s">
        <v>147</v>
      </c>
      <c r="E12" s="8" t="s">
        <v>72</v>
      </c>
      <c r="F12" s="8" t="s">
        <v>117</v>
      </c>
      <c r="G12" s="8" t="s">
        <v>51</v>
      </c>
      <c r="H12" s="8" t="s">
        <v>150</v>
      </c>
      <c r="I12" s="8" t="s">
        <v>152</v>
      </c>
      <c r="J12" s="8" t="s">
        <v>153</v>
      </c>
      <c r="K12" s="9" t="s">
        <v>39</v>
      </c>
      <c r="L12" s="9" t="s">
        <v>40</v>
      </c>
      <c r="M12" s="9" t="s">
        <v>41</v>
      </c>
      <c r="N12" s="9" t="s">
        <v>13</v>
      </c>
      <c r="O12" s="9"/>
      <c r="P12" s="9" t="s">
        <v>43</v>
      </c>
    </row>
    <row r="13" ht="37.5" customHeight="1">
      <c r="A13" s="8" t="s">
        <v>158</v>
      </c>
      <c r="B13" s="8" t="s">
        <v>45</v>
      </c>
      <c r="C13" s="8" t="s">
        <v>45</v>
      </c>
      <c r="D13" s="8" t="s">
        <v>160</v>
      </c>
      <c r="E13" s="8" t="s">
        <v>48</v>
      </c>
      <c r="F13" s="8" t="s">
        <v>117</v>
      </c>
      <c r="G13" s="8" t="s">
        <v>51</v>
      </c>
      <c r="H13" s="8" t="s">
        <v>165</v>
      </c>
      <c r="I13" s="8" t="s">
        <v>166</v>
      </c>
      <c r="J13" s="8" t="s">
        <v>168</v>
      </c>
      <c r="K13" s="9" t="s">
        <v>39</v>
      </c>
      <c r="L13" s="9" t="s">
        <v>40</v>
      </c>
      <c r="M13" s="9" t="s">
        <v>41</v>
      </c>
      <c r="N13" s="9" t="s">
        <v>13</v>
      </c>
      <c r="O13" s="9"/>
      <c r="P13" s="9" t="s">
        <v>43</v>
      </c>
    </row>
    <row r="14" ht="37.5" customHeight="1">
      <c r="A14" s="8" t="s">
        <v>172</v>
      </c>
      <c r="B14" s="8" t="s">
        <v>45</v>
      </c>
      <c r="C14" s="8" t="s">
        <v>45</v>
      </c>
      <c r="D14" s="8" t="s">
        <v>175</v>
      </c>
      <c r="E14" s="8" t="s">
        <v>48</v>
      </c>
      <c r="F14" s="8" t="s">
        <v>177</v>
      </c>
      <c r="G14" s="8" t="s">
        <v>51</v>
      </c>
      <c r="H14" s="8" t="s">
        <v>178</v>
      </c>
      <c r="I14" s="8" t="s">
        <v>54</v>
      </c>
      <c r="J14" s="8" t="s">
        <v>179</v>
      </c>
      <c r="K14" s="9" t="s">
        <v>39</v>
      </c>
      <c r="L14" s="9" t="s">
        <v>40</v>
      </c>
      <c r="M14" s="9" t="s">
        <v>41</v>
      </c>
      <c r="N14" s="9" t="s">
        <v>13</v>
      </c>
      <c r="O14" s="9"/>
      <c r="P14" s="9" t="s">
        <v>43</v>
      </c>
    </row>
    <row r="15" ht="49.5" customHeight="1">
      <c r="A15" s="8" t="s">
        <v>183</v>
      </c>
      <c r="B15" s="8" t="s">
        <v>45</v>
      </c>
      <c r="C15" s="8" t="s">
        <v>45</v>
      </c>
      <c r="D15" s="8" t="s">
        <v>185</v>
      </c>
      <c r="E15" s="8" t="s">
        <v>72</v>
      </c>
      <c r="F15" s="8" t="s">
        <v>50</v>
      </c>
      <c r="G15" s="8" t="s">
        <v>51</v>
      </c>
      <c r="H15" s="8" t="s">
        <v>189</v>
      </c>
      <c r="I15" s="8" t="s">
        <v>190</v>
      </c>
      <c r="J15" s="8" t="s">
        <v>191</v>
      </c>
      <c r="K15" s="9" t="s">
        <v>39</v>
      </c>
      <c r="L15" s="9" t="s">
        <v>40</v>
      </c>
      <c r="M15" s="9" t="s">
        <v>41</v>
      </c>
      <c r="N15" s="9" t="s">
        <v>13</v>
      </c>
      <c r="O15" s="9"/>
      <c r="P15" s="9" t="s">
        <v>43</v>
      </c>
    </row>
    <row r="16" ht="49.5" customHeight="1">
      <c r="A16" s="8" t="s">
        <v>198</v>
      </c>
      <c r="B16" s="8" t="s">
        <v>45</v>
      </c>
      <c r="C16" s="8" t="s">
        <v>45</v>
      </c>
      <c r="D16" s="8" t="s">
        <v>201</v>
      </c>
      <c r="E16" s="8" t="s">
        <v>48</v>
      </c>
      <c r="F16" s="8" t="s">
        <v>117</v>
      </c>
      <c r="G16" s="8" t="s">
        <v>51</v>
      </c>
      <c r="H16" s="10" t="s">
        <v>205</v>
      </c>
      <c r="I16" s="8" t="s">
        <v>208</v>
      </c>
      <c r="J16" s="10" t="s">
        <v>209</v>
      </c>
      <c r="K16" s="9" t="s">
        <v>210</v>
      </c>
      <c r="L16" s="9" t="s">
        <v>62</v>
      </c>
      <c r="M16" s="9" t="s">
        <v>41</v>
      </c>
      <c r="N16" s="9" t="s">
        <v>13</v>
      </c>
      <c r="O16" s="9" t="s">
        <v>212</v>
      </c>
      <c r="P16" s="9" t="s">
        <v>213</v>
      </c>
    </row>
    <row r="17" ht="37.5" customHeight="1">
      <c r="A17" s="8" t="s">
        <v>215</v>
      </c>
      <c r="B17" s="8" t="s">
        <v>45</v>
      </c>
      <c r="C17" s="8" t="s">
        <v>45</v>
      </c>
      <c r="D17" s="8" t="s">
        <v>216</v>
      </c>
      <c r="E17" s="8" t="s">
        <v>72</v>
      </c>
      <c r="F17" s="8" t="s">
        <v>50</v>
      </c>
      <c r="G17" s="8" t="s">
        <v>218</v>
      </c>
      <c r="H17" s="8" t="s">
        <v>219</v>
      </c>
      <c r="I17" s="8" t="s">
        <v>54</v>
      </c>
      <c r="J17" s="8" t="s">
        <v>221</v>
      </c>
      <c r="K17" s="11" t="s">
        <v>39</v>
      </c>
      <c r="L17" s="11" t="s">
        <v>40</v>
      </c>
      <c r="M17" s="11" t="s">
        <v>229</v>
      </c>
      <c r="N17" s="11" t="s">
        <v>13</v>
      </c>
      <c r="O17" s="9"/>
      <c r="P17" s="11" t="s">
        <v>43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P$17"/>
  <dataValidations>
    <dataValidation type="list" allowBlank="1" sqref="L6:L17">
      <formula1>"Pass,Fail,Blocked,Not Executed"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6.0"/>
    <col customWidth="1" min="4" max="4" width="30.0"/>
    <col customWidth="1" min="5" max="6" width="10.0"/>
    <col customWidth="1" min="7" max="7" width="26.0"/>
    <col customWidth="1" min="8" max="8" width="48.0"/>
    <col customWidth="1" min="9" max="9" width="28.0"/>
    <col customWidth="1" min="10" max="10" width="40.0"/>
    <col customWidth="1" min="11" max="11" width="34.0"/>
    <col customWidth="1" min="12" max="14" width="12.0"/>
    <col customWidth="1" min="15" max="15" width="10.0"/>
    <col customWidth="1" min="16" max="16" width="22.0"/>
    <col customWidth="1" min="17" max="26" width="8.57"/>
  </cols>
  <sheetData>
    <row r="1" ht="18.0" customHeight="1">
      <c r="A1" s="4" t="s">
        <v>20</v>
      </c>
    </row>
    <row r="2" ht="14.25" customHeight="1">
      <c r="A2" s="2" t="s">
        <v>1</v>
      </c>
      <c r="B2" s="5" t="s">
        <v>19</v>
      </c>
      <c r="D2" s="6" t="s">
        <v>25</v>
      </c>
    </row>
    <row r="3" ht="14.25" customHeight="1">
      <c r="A3" s="2" t="s">
        <v>3</v>
      </c>
      <c r="B3" s="5" t="s">
        <v>4</v>
      </c>
    </row>
    <row r="4" ht="14.25" customHeight="1">
      <c r="A4" s="2" t="s">
        <v>28</v>
      </c>
      <c r="B4" s="5">
        <f>COUNTA(A6:A17)</f>
        <v>12</v>
      </c>
    </row>
    <row r="5" ht="31.5" customHeight="1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7" t="s">
        <v>38</v>
      </c>
      <c r="K5" s="7" t="s">
        <v>42</v>
      </c>
      <c r="L5" s="7" t="s">
        <v>40</v>
      </c>
      <c r="M5" s="7" t="s">
        <v>41</v>
      </c>
      <c r="N5" s="7" t="s">
        <v>13</v>
      </c>
      <c r="O5" s="7"/>
      <c r="P5" s="7" t="s">
        <v>43</v>
      </c>
    </row>
    <row r="6" ht="49.5" customHeight="1">
      <c r="A6" s="8" t="s">
        <v>65</v>
      </c>
      <c r="B6" s="8" t="s">
        <v>69</v>
      </c>
      <c r="C6" s="8" t="s">
        <v>69</v>
      </c>
      <c r="D6" s="8" t="s">
        <v>73</v>
      </c>
      <c r="E6" s="8" t="s">
        <v>48</v>
      </c>
      <c r="F6" s="8" t="s">
        <v>50</v>
      </c>
      <c r="G6" s="8" t="s">
        <v>56</v>
      </c>
      <c r="H6" s="8" t="s">
        <v>80</v>
      </c>
      <c r="I6" s="8" t="s">
        <v>58</v>
      </c>
      <c r="J6" s="8" t="s">
        <v>85</v>
      </c>
      <c r="K6" s="9" t="s">
        <v>89</v>
      </c>
      <c r="L6" s="9" t="s">
        <v>62</v>
      </c>
      <c r="M6" s="9" t="s">
        <v>41</v>
      </c>
      <c r="N6" s="9" t="s">
        <v>13</v>
      </c>
      <c r="O6" s="9" t="s">
        <v>97</v>
      </c>
      <c r="P6" s="9" t="s">
        <v>99</v>
      </c>
    </row>
    <row r="7" ht="49.5" customHeight="1">
      <c r="A7" s="8" t="s">
        <v>102</v>
      </c>
      <c r="B7" s="8" t="s">
        <v>69</v>
      </c>
      <c r="C7" s="8" t="s">
        <v>69</v>
      </c>
      <c r="D7" s="8" t="s">
        <v>106</v>
      </c>
      <c r="E7" s="8" t="s">
        <v>48</v>
      </c>
      <c r="F7" s="8" t="s">
        <v>50</v>
      </c>
      <c r="G7" s="8" t="s">
        <v>56</v>
      </c>
      <c r="H7" s="8" t="s">
        <v>111</v>
      </c>
      <c r="I7" s="8" t="s">
        <v>114</v>
      </c>
      <c r="J7" s="8" t="s">
        <v>116</v>
      </c>
      <c r="K7" s="9" t="s">
        <v>118</v>
      </c>
      <c r="L7" s="9" t="s">
        <v>62</v>
      </c>
      <c r="M7" s="9" t="s">
        <v>41</v>
      </c>
      <c r="N7" s="9" t="s">
        <v>13</v>
      </c>
      <c r="O7" s="9" t="s">
        <v>126</v>
      </c>
      <c r="P7" s="9" t="s">
        <v>127</v>
      </c>
    </row>
    <row r="8" ht="37.5" customHeight="1">
      <c r="A8" s="8" t="s">
        <v>131</v>
      </c>
      <c r="B8" s="8" t="s">
        <v>69</v>
      </c>
      <c r="C8" s="8" t="s">
        <v>69</v>
      </c>
      <c r="D8" s="8" t="s">
        <v>136</v>
      </c>
      <c r="E8" s="8" t="s">
        <v>72</v>
      </c>
      <c r="F8" s="8" t="s">
        <v>50</v>
      </c>
      <c r="G8" s="8" t="s">
        <v>56</v>
      </c>
      <c r="H8" s="8" t="s">
        <v>141</v>
      </c>
      <c r="I8" s="8" t="s">
        <v>143</v>
      </c>
      <c r="J8" s="8" t="s">
        <v>146</v>
      </c>
      <c r="K8" s="9" t="s">
        <v>148</v>
      </c>
      <c r="L8" s="9" t="s">
        <v>62</v>
      </c>
      <c r="M8" s="9" t="s">
        <v>41</v>
      </c>
      <c r="N8" s="9" t="s">
        <v>13</v>
      </c>
      <c r="O8" s="9" t="s">
        <v>155</v>
      </c>
      <c r="P8" s="9" t="s">
        <v>157</v>
      </c>
    </row>
    <row r="9" ht="37.5" customHeight="1">
      <c r="A9" s="8" t="s">
        <v>159</v>
      </c>
      <c r="B9" s="8" t="s">
        <v>69</v>
      </c>
      <c r="C9" s="8" t="s">
        <v>69</v>
      </c>
      <c r="D9" s="8" t="s">
        <v>164</v>
      </c>
      <c r="E9" s="8" t="s">
        <v>48</v>
      </c>
      <c r="F9" s="8" t="s">
        <v>50</v>
      </c>
      <c r="G9" s="8" t="s">
        <v>56</v>
      </c>
      <c r="H9" s="8" t="s">
        <v>169</v>
      </c>
      <c r="I9" s="8" t="s">
        <v>171</v>
      </c>
      <c r="J9" s="8" t="s">
        <v>174</v>
      </c>
      <c r="K9" s="9" t="s">
        <v>42</v>
      </c>
      <c r="L9" s="9" t="s">
        <v>40</v>
      </c>
      <c r="M9" s="9" t="s">
        <v>41</v>
      </c>
      <c r="N9" s="9" t="s">
        <v>13</v>
      </c>
      <c r="O9" s="9"/>
      <c r="P9" s="9" t="s">
        <v>43</v>
      </c>
    </row>
    <row r="10" ht="37.5" customHeight="1">
      <c r="A10" s="8" t="s">
        <v>182</v>
      </c>
      <c r="B10" s="8" t="s">
        <v>69</v>
      </c>
      <c r="C10" s="8" t="s">
        <v>69</v>
      </c>
      <c r="D10" s="8" t="s">
        <v>188</v>
      </c>
      <c r="E10" s="8" t="s">
        <v>48</v>
      </c>
      <c r="F10" s="8" t="s">
        <v>50</v>
      </c>
      <c r="G10" s="8" t="s">
        <v>56</v>
      </c>
      <c r="H10" s="8" t="s">
        <v>193</v>
      </c>
      <c r="I10" s="8" t="s">
        <v>195</v>
      </c>
      <c r="J10" s="8" t="s">
        <v>197</v>
      </c>
      <c r="K10" s="9" t="s">
        <v>199</v>
      </c>
      <c r="L10" s="9" t="s">
        <v>62</v>
      </c>
      <c r="M10" s="9" t="s">
        <v>41</v>
      </c>
      <c r="N10" s="9" t="s">
        <v>13</v>
      </c>
      <c r="O10" s="9" t="s">
        <v>203</v>
      </c>
      <c r="P10" s="9" t="s">
        <v>206</v>
      </c>
    </row>
    <row r="11" ht="49.5" customHeight="1">
      <c r="A11" s="8" t="s">
        <v>207</v>
      </c>
      <c r="B11" s="8" t="s">
        <v>69</v>
      </c>
      <c r="C11" s="8" t="s">
        <v>69</v>
      </c>
      <c r="D11" s="8" t="s">
        <v>232</v>
      </c>
      <c r="E11" s="8" t="s">
        <v>48</v>
      </c>
      <c r="F11" s="8" t="s">
        <v>117</v>
      </c>
      <c r="G11" s="8" t="s">
        <v>56</v>
      </c>
      <c r="H11" s="8" t="s">
        <v>236</v>
      </c>
      <c r="I11" s="8" t="s">
        <v>239</v>
      </c>
      <c r="J11" s="8" t="s">
        <v>240</v>
      </c>
      <c r="K11" s="9" t="s">
        <v>42</v>
      </c>
      <c r="L11" s="9" t="s">
        <v>40</v>
      </c>
      <c r="M11" s="9" t="s">
        <v>41</v>
      </c>
      <c r="N11" s="9" t="s">
        <v>13</v>
      </c>
      <c r="O11" s="9"/>
      <c r="P11" s="9" t="s">
        <v>43</v>
      </c>
    </row>
    <row r="12" ht="37.5" customHeight="1">
      <c r="A12" s="8" t="s">
        <v>251</v>
      </c>
      <c r="B12" s="8" t="s">
        <v>69</v>
      </c>
      <c r="C12" s="8" t="s">
        <v>69</v>
      </c>
      <c r="D12" s="8" t="s">
        <v>255</v>
      </c>
      <c r="E12" s="8" t="s">
        <v>48</v>
      </c>
      <c r="F12" s="8" t="s">
        <v>117</v>
      </c>
      <c r="G12" s="8" t="s">
        <v>56</v>
      </c>
      <c r="H12" s="8" t="s">
        <v>260</v>
      </c>
      <c r="I12" s="8" t="s">
        <v>58</v>
      </c>
      <c r="J12" s="8" t="s">
        <v>264</v>
      </c>
      <c r="K12" s="9" t="s">
        <v>265</v>
      </c>
      <c r="L12" s="9" t="s">
        <v>62</v>
      </c>
      <c r="M12" s="9" t="s">
        <v>41</v>
      </c>
      <c r="N12" s="9" t="s">
        <v>13</v>
      </c>
      <c r="O12" s="9" t="s">
        <v>268</v>
      </c>
      <c r="P12" s="9" t="s">
        <v>269</v>
      </c>
    </row>
    <row r="13" ht="37.5" customHeight="1">
      <c r="A13" s="8" t="s">
        <v>270</v>
      </c>
      <c r="B13" s="8" t="s">
        <v>69</v>
      </c>
      <c r="C13" s="8" t="s">
        <v>69</v>
      </c>
      <c r="D13" s="8" t="s">
        <v>271</v>
      </c>
      <c r="E13" s="8" t="s">
        <v>48</v>
      </c>
      <c r="F13" s="8" t="s">
        <v>117</v>
      </c>
      <c r="G13" s="8" t="s">
        <v>56</v>
      </c>
      <c r="H13" s="8" t="s">
        <v>272</v>
      </c>
      <c r="I13" s="8" t="s">
        <v>58</v>
      </c>
      <c r="J13" s="8" t="s">
        <v>273</v>
      </c>
      <c r="K13" s="9" t="s">
        <v>275</v>
      </c>
      <c r="L13" s="9" t="s">
        <v>62</v>
      </c>
      <c r="M13" s="9" t="s">
        <v>41</v>
      </c>
      <c r="N13" s="9" t="s">
        <v>13</v>
      </c>
      <c r="O13" s="9" t="s">
        <v>277</v>
      </c>
      <c r="P13" s="9" t="s">
        <v>278</v>
      </c>
    </row>
    <row r="14" ht="37.5" customHeight="1">
      <c r="A14" s="8" t="s">
        <v>279</v>
      </c>
      <c r="B14" s="8" t="s">
        <v>69</v>
      </c>
      <c r="C14" s="8" t="s">
        <v>69</v>
      </c>
      <c r="D14" s="8" t="s">
        <v>281</v>
      </c>
      <c r="E14" s="8" t="s">
        <v>72</v>
      </c>
      <c r="F14" s="8" t="s">
        <v>177</v>
      </c>
      <c r="G14" s="8" t="s">
        <v>56</v>
      </c>
      <c r="H14" s="8" t="s">
        <v>283</v>
      </c>
      <c r="I14" s="8" t="s">
        <v>285</v>
      </c>
      <c r="J14" s="8" t="s">
        <v>287</v>
      </c>
      <c r="K14" s="9" t="s">
        <v>288</v>
      </c>
      <c r="L14" s="9" t="s">
        <v>62</v>
      </c>
      <c r="M14" s="9" t="s">
        <v>41</v>
      </c>
      <c r="N14" s="9" t="s">
        <v>13</v>
      </c>
      <c r="O14" s="9" t="s">
        <v>291</v>
      </c>
      <c r="P14" s="9" t="s">
        <v>292</v>
      </c>
    </row>
    <row r="15" ht="37.5" customHeight="1">
      <c r="A15" s="8" t="s">
        <v>293</v>
      </c>
      <c r="B15" s="8" t="s">
        <v>69</v>
      </c>
      <c r="C15" s="8" t="s">
        <v>69</v>
      </c>
      <c r="D15" s="8" t="s">
        <v>294</v>
      </c>
      <c r="E15" s="8" t="s">
        <v>48</v>
      </c>
      <c r="F15" s="8" t="s">
        <v>177</v>
      </c>
      <c r="G15" s="8" t="s">
        <v>56</v>
      </c>
      <c r="H15" s="8" t="s">
        <v>296</v>
      </c>
      <c r="I15" s="8" t="s">
        <v>58</v>
      </c>
      <c r="J15" s="8" t="s">
        <v>297</v>
      </c>
      <c r="K15" s="9" t="s">
        <v>42</v>
      </c>
      <c r="L15" s="9" t="s">
        <v>40</v>
      </c>
      <c r="M15" s="9" t="s">
        <v>41</v>
      </c>
      <c r="N15" s="9" t="s">
        <v>13</v>
      </c>
      <c r="O15" s="9"/>
      <c r="P15" s="9" t="s">
        <v>43</v>
      </c>
    </row>
    <row r="16" ht="37.5" customHeight="1">
      <c r="A16" s="8" t="s">
        <v>301</v>
      </c>
      <c r="B16" s="8" t="s">
        <v>69</v>
      </c>
      <c r="C16" s="8" t="s">
        <v>69</v>
      </c>
      <c r="D16" s="8" t="s">
        <v>305</v>
      </c>
      <c r="E16" s="8" t="s">
        <v>48</v>
      </c>
      <c r="F16" s="8" t="s">
        <v>117</v>
      </c>
      <c r="G16" s="8" t="s">
        <v>56</v>
      </c>
      <c r="H16" s="8" t="s">
        <v>307</v>
      </c>
      <c r="I16" s="8" t="s">
        <v>58</v>
      </c>
      <c r="J16" s="8" t="s">
        <v>309</v>
      </c>
      <c r="K16" s="9" t="s">
        <v>311</v>
      </c>
      <c r="L16" s="9" t="s">
        <v>62</v>
      </c>
      <c r="M16" s="9" t="s">
        <v>41</v>
      </c>
      <c r="N16" s="9" t="s">
        <v>13</v>
      </c>
      <c r="O16" s="9" t="s">
        <v>313</v>
      </c>
      <c r="P16" s="9" t="s">
        <v>315</v>
      </c>
    </row>
    <row r="17" ht="24.75" customHeight="1">
      <c r="A17" s="8" t="s">
        <v>316</v>
      </c>
      <c r="B17" s="8" t="s">
        <v>69</v>
      </c>
      <c r="C17" s="8" t="s">
        <v>69</v>
      </c>
      <c r="D17" s="8" t="s">
        <v>319</v>
      </c>
      <c r="E17" s="8" t="s">
        <v>72</v>
      </c>
      <c r="F17" s="8" t="s">
        <v>50</v>
      </c>
      <c r="G17" s="8" t="s">
        <v>321</v>
      </c>
      <c r="H17" s="8" t="s">
        <v>322</v>
      </c>
      <c r="I17" s="8" t="s">
        <v>323</v>
      </c>
      <c r="J17" s="8" t="s">
        <v>325</v>
      </c>
      <c r="K17" s="9"/>
      <c r="L17" s="9" t="s">
        <v>266</v>
      </c>
      <c r="M17" s="9"/>
      <c r="N17" s="9"/>
      <c r="O17" s="9"/>
      <c r="P17" s="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P$17"/>
  <dataValidations>
    <dataValidation type="list" allowBlank="1" sqref="L6:L17">
      <formula1>"Pass,Fail,Blocked,Not Executed"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6.0"/>
    <col customWidth="1" min="4" max="4" width="30.0"/>
    <col customWidth="1" min="5" max="6" width="10.0"/>
    <col customWidth="1" min="7" max="7" width="26.0"/>
    <col customWidth="1" min="8" max="8" width="48.0"/>
    <col customWidth="1" min="9" max="9" width="28.0"/>
    <col customWidth="1" min="10" max="10" width="40.0"/>
    <col customWidth="1" min="11" max="11" width="34.0"/>
    <col customWidth="1" min="12" max="14" width="12.0"/>
    <col customWidth="1" min="15" max="15" width="10.0"/>
    <col customWidth="1" min="16" max="16" width="22.0"/>
    <col customWidth="1" min="17" max="26" width="8.57"/>
  </cols>
  <sheetData>
    <row r="1" ht="18.0" customHeight="1">
      <c r="A1" s="4" t="s">
        <v>15</v>
      </c>
    </row>
    <row r="2" ht="14.25" customHeight="1">
      <c r="A2" s="2" t="s">
        <v>1</v>
      </c>
      <c r="B2" s="5" t="s">
        <v>19</v>
      </c>
      <c r="D2" s="6" t="s">
        <v>25</v>
      </c>
    </row>
    <row r="3" ht="14.25" customHeight="1">
      <c r="A3" s="2" t="s">
        <v>3</v>
      </c>
      <c r="B3" s="5" t="s">
        <v>4</v>
      </c>
    </row>
    <row r="4" ht="14.25" customHeight="1">
      <c r="A4" s="2" t="s">
        <v>28</v>
      </c>
      <c r="B4" s="5">
        <f>COUNTA(A6:A17)</f>
        <v>12</v>
      </c>
    </row>
    <row r="5" ht="31.5" customHeight="1">
      <c r="A5" s="7" t="s">
        <v>29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7" t="s">
        <v>38</v>
      </c>
      <c r="K5" s="7" t="s">
        <v>42</v>
      </c>
      <c r="L5" s="7" t="s">
        <v>40</v>
      </c>
      <c r="M5" s="7" t="s">
        <v>41</v>
      </c>
      <c r="N5" s="7" t="s">
        <v>13</v>
      </c>
      <c r="O5" s="7"/>
      <c r="P5" s="7" t="s">
        <v>43</v>
      </c>
    </row>
    <row r="6" ht="37.5" customHeight="1">
      <c r="A6" s="8" t="s">
        <v>46</v>
      </c>
      <c r="B6" s="8" t="s">
        <v>49</v>
      </c>
      <c r="C6" s="8" t="s">
        <v>49</v>
      </c>
      <c r="D6" s="8" t="s">
        <v>52</v>
      </c>
      <c r="E6" s="8" t="s">
        <v>48</v>
      </c>
      <c r="F6" s="8" t="s">
        <v>50</v>
      </c>
      <c r="G6" s="8" t="s">
        <v>56</v>
      </c>
      <c r="H6" s="8" t="s">
        <v>57</v>
      </c>
      <c r="I6" s="8" t="s">
        <v>58</v>
      </c>
      <c r="J6" s="8" t="s">
        <v>60</v>
      </c>
      <c r="K6" s="9" t="s">
        <v>61</v>
      </c>
      <c r="L6" s="9" t="s">
        <v>62</v>
      </c>
      <c r="M6" s="9" t="s">
        <v>41</v>
      </c>
      <c r="N6" s="9" t="s">
        <v>13</v>
      </c>
      <c r="O6" s="9" t="s">
        <v>66</v>
      </c>
      <c r="P6" s="9" t="s">
        <v>68</v>
      </c>
    </row>
    <row r="7" ht="75.0" customHeight="1">
      <c r="A7" s="8" t="s">
        <v>70</v>
      </c>
      <c r="B7" s="8" t="s">
        <v>49</v>
      </c>
      <c r="C7" s="8" t="s">
        <v>49</v>
      </c>
      <c r="D7" s="8" t="s">
        <v>74</v>
      </c>
      <c r="E7" s="8" t="s">
        <v>48</v>
      </c>
      <c r="F7" s="8" t="s">
        <v>50</v>
      </c>
      <c r="G7" s="8" t="s">
        <v>56</v>
      </c>
      <c r="H7" s="8" t="s">
        <v>79</v>
      </c>
      <c r="I7" s="8" t="s">
        <v>81</v>
      </c>
      <c r="J7" s="8" t="s">
        <v>83</v>
      </c>
      <c r="K7" s="9" t="s">
        <v>86</v>
      </c>
      <c r="L7" s="9" t="s">
        <v>62</v>
      </c>
      <c r="M7" s="9" t="s">
        <v>41</v>
      </c>
      <c r="N7" s="9" t="s">
        <v>13</v>
      </c>
      <c r="O7" s="9" t="s">
        <v>90</v>
      </c>
      <c r="P7" s="9" t="s">
        <v>92</v>
      </c>
    </row>
    <row r="8" ht="37.5" customHeight="1">
      <c r="A8" s="8" t="s">
        <v>95</v>
      </c>
      <c r="B8" s="8" t="s">
        <v>49</v>
      </c>
      <c r="C8" s="8" t="s">
        <v>49</v>
      </c>
      <c r="D8" s="8" t="s">
        <v>96</v>
      </c>
      <c r="E8" s="8" t="s">
        <v>72</v>
      </c>
      <c r="F8" s="8" t="s">
        <v>50</v>
      </c>
      <c r="G8" s="8" t="s">
        <v>56</v>
      </c>
      <c r="H8" s="8" t="s">
        <v>100</v>
      </c>
      <c r="I8" s="8" t="s">
        <v>58</v>
      </c>
      <c r="J8" s="8" t="s">
        <v>103</v>
      </c>
      <c r="K8" s="9" t="s">
        <v>42</v>
      </c>
      <c r="L8" s="9" t="s">
        <v>40</v>
      </c>
      <c r="M8" s="9" t="s">
        <v>41</v>
      </c>
      <c r="N8" s="9" t="s">
        <v>13</v>
      </c>
      <c r="O8" s="9"/>
      <c r="P8" s="9" t="s">
        <v>43</v>
      </c>
    </row>
    <row r="9" ht="49.5" customHeight="1">
      <c r="A9" s="8" t="s">
        <v>109</v>
      </c>
      <c r="B9" s="8" t="s">
        <v>49</v>
      </c>
      <c r="C9" s="8" t="s">
        <v>49</v>
      </c>
      <c r="D9" s="8" t="s">
        <v>113</v>
      </c>
      <c r="E9" s="8" t="s">
        <v>72</v>
      </c>
      <c r="F9" s="8" t="s">
        <v>50</v>
      </c>
      <c r="G9" s="8" t="s">
        <v>56</v>
      </c>
      <c r="H9" s="8" t="s">
        <v>119</v>
      </c>
      <c r="I9" s="8" t="s">
        <v>122</v>
      </c>
      <c r="J9" s="8" t="s">
        <v>124</v>
      </c>
      <c r="K9" s="9" t="s">
        <v>125</v>
      </c>
      <c r="L9" s="9" t="s">
        <v>62</v>
      </c>
      <c r="M9" s="9" t="s">
        <v>41</v>
      </c>
      <c r="N9" s="9" t="s">
        <v>13</v>
      </c>
      <c r="O9" s="9" t="s">
        <v>128</v>
      </c>
      <c r="P9" s="9" t="s">
        <v>130</v>
      </c>
    </row>
    <row r="10" ht="49.5" customHeight="1">
      <c r="A10" s="8" t="s">
        <v>132</v>
      </c>
      <c r="B10" s="8" t="s">
        <v>49</v>
      </c>
      <c r="C10" s="8" t="s">
        <v>49</v>
      </c>
      <c r="D10" s="8" t="s">
        <v>134</v>
      </c>
      <c r="E10" s="8" t="s">
        <v>72</v>
      </c>
      <c r="F10" s="8" t="s">
        <v>117</v>
      </c>
      <c r="G10" s="8" t="s">
        <v>56</v>
      </c>
      <c r="H10" s="8" t="s">
        <v>139</v>
      </c>
      <c r="I10" s="8" t="s">
        <v>140</v>
      </c>
      <c r="J10" s="8" t="s">
        <v>142</v>
      </c>
      <c r="K10" s="9" t="s">
        <v>144</v>
      </c>
      <c r="L10" s="9" t="s">
        <v>62</v>
      </c>
      <c r="M10" s="9" t="s">
        <v>41</v>
      </c>
      <c r="N10" s="9" t="s">
        <v>13</v>
      </c>
      <c r="O10" s="9" t="s">
        <v>149</v>
      </c>
      <c r="P10" s="9" t="s">
        <v>151</v>
      </c>
    </row>
    <row r="11" ht="49.5" customHeight="1">
      <c r="A11" s="8" t="s">
        <v>154</v>
      </c>
      <c r="B11" s="8" t="s">
        <v>49</v>
      </c>
      <c r="C11" s="8" t="s">
        <v>49</v>
      </c>
      <c r="D11" s="8" t="s">
        <v>156</v>
      </c>
      <c r="E11" s="8" t="s">
        <v>48</v>
      </c>
      <c r="F11" s="8" t="s">
        <v>50</v>
      </c>
      <c r="G11" s="8" t="s">
        <v>56</v>
      </c>
      <c r="H11" s="8" t="s">
        <v>161</v>
      </c>
      <c r="I11" s="8" t="s">
        <v>162</v>
      </c>
      <c r="J11" s="8" t="s">
        <v>163</v>
      </c>
      <c r="K11" s="9" t="s">
        <v>167</v>
      </c>
      <c r="L11" s="9" t="s">
        <v>62</v>
      </c>
      <c r="M11" s="9" t="s">
        <v>41</v>
      </c>
      <c r="N11" s="9" t="s">
        <v>13</v>
      </c>
      <c r="O11" s="9" t="s">
        <v>170</v>
      </c>
      <c r="P11" s="9" t="s">
        <v>173</v>
      </c>
    </row>
    <row r="12" ht="37.5" customHeight="1">
      <c r="A12" s="8" t="s">
        <v>176</v>
      </c>
      <c r="B12" s="8" t="s">
        <v>49</v>
      </c>
      <c r="C12" s="8" t="s">
        <v>49</v>
      </c>
      <c r="D12" s="8" t="s">
        <v>180</v>
      </c>
      <c r="E12" s="8" t="s">
        <v>48</v>
      </c>
      <c r="F12" s="8" t="s">
        <v>117</v>
      </c>
      <c r="G12" s="8" t="s">
        <v>56</v>
      </c>
      <c r="H12" s="8" t="s">
        <v>181</v>
      </c>
      <c r="I12" s="8" t="s">
        <v>184</v>
      </c>
      <c r="J12" s="8" t="s">
        <v>186</v>
      </c>
      <c r="K12" s="9" t="s">
        <v>187</v>
      </c>
      <c r="L12" s="9" t="s">
        <v>62</v>
      </c>
      <c r="M12" s="9" t="s">
        <v>41</v>
      </c>
      <c r="N12" s="9" t="s">
        <v>13</v>
      </c>
      <c r="O12" s="9" t="s">
        <v>192</v>
      </c>
      <c r="P12" s="9" t="s">
        <v>194</v>
      </c>
    </row>
    <row r="13" ht="37.5" customHeight="1">
      <c r="A13" s="8" t="s">
        <v>196</v>
      </c>
      <c r="B13" s="8" t="s">
        <v>49</v>
      </c>
      <c r="C13" s="8" t="s">
        <v>49</v>
      </c>
      <c r="D13" s="8" t="s">
        <v>200</v>
      </c>
      <c r="E13" s="8" t="s">
        <v>48</v>
      </c>
      <c r="F13" s="8" t="s">
        <v>177</v>
      </c>
      <c r="G13" s="8" t="s">
        <v>56</v>
      </c>
      <c r="H13" s="8" t="s">
        <v>202</v>
      </c>
      <c r="I13" s="8" t="s">
        <v>58</v>
      </c>
      <c r="J13" s="8" t="s">
        <v>204</v>
      </c>
      <c r="K13" s="9" t="s">
        <v>42</v>
      </c>
      <c r="L13" s="9" t="s">
        <v>40</v>
      </c>
      <c r="M13" s="9" t="s">
        <v>41</v>
      </c>
      <c r="N13" s="9" t="s">
        <v>13</v>
      </c>
      <c r="O13" s="9"/>
      <c r="P13" s="9" t="s">
        <v>43</v>
      </c>
    </row>
    <row r="14" ht="24.75" customHeight="1">
      <c r="A14" s="8" t="s">
        <v>211</v>
      </c>
      <c r="B14" s="8" t="s">
        <v>49</v>
      </c>
      <c r="C14" s="8" t="s">
        <v>49</v>
      </c>
      <c r="D14" s="8" t="s">
        <v>214</v>
      </c>
      <c r="E14" s="8" t="s">
        <v>48</v>
      </c>
      <c r="F14" s="8" t="s">
        <v>117</v>
      </c>
      <c r="G14" s="8" t="s">
        <v>56</v>
      </c>
      <c r="H14" s="8" t="s">
        <v>217</v>
      </c>
      <c r="I14" s="8" t="s">
        <v>58</v>
      </c>
      <c r="J14" s="8" t="s">
        <v>220</v>
      </c>
      <c r="K14" s="9" t="s">
        <v>42</v>
      </c>
      <c r="L14" s="9" t="s">
        <v>40</v>
      </c>
      <c r="M14" s="9" t="s">
        <v>41</v>
      </c>
      <c r="N14" s="9" t="s">
        <v>13</v>
      </c>
      <c r="O14" s="9"/>
      <c r="P14" s="9" t="s">
        <v>43</v>
      </c>
    </row>
    <row r="15" ht="37.5" customHeight="1">
      <c r="A15" s="8" t="s">
        <v>222</v>
      </c>
      <c r="B15" s="8" t="s">
        <v>49</v>
      </c>
      <c r="C15" s="8" t="s">
        <v>49</v>
      </c>
      <c r="D15" s="8" t="s">
        <v>224</v>
      </c>
      <c r="E15" s="8" t="s">
        <v>48</v>
      </c>
      <c r="F15" s="8" t="s">
        <v>50</v>
      </c>
      <c r="G15" s="8" t="s">
        <v>225</v>
      </c>
      <c r="H15" s="8" t="s">
        <v>226</v>
      </c>
      <c r="I15" s="8" t="s">
        <v>227</v>
      </c>
      <c r="J15" s="8" t="s">
        <v>230</v>
      </c>
      <c r="K15" s="9" t="s">
        <v>231</v>
      </c>
      <c r="L15" s="9" t="s">
        <v>62</v>
      </c>
      <c r="M15" s="9" t="s">
        <v>41</v>
      </c>
      <c r="N15" s="9" t="s">
        <v>13</v>
      </c>
      <c r="O15" s="9" t="s">
        <v>233</v>
      </c>
      <c r="P15" s="9" t="s">
        <v>234</v>
      </c>
    </row>
    <row r="16" ht="62.25" customHeight="1">
      <c r="A16" s="8" t="s">
        <v>235</v>
      </c>
      <c r="B16" s="8" t="s">
        <v>49</v>
      </c>
      <c r="C16" s="8" t="s">
        <v>49</v>
      </c>
      <c r="D16" s="8" t="s">
        <v>237</v>
      </c>
      <c r="E16" s="8" t="s">
        <v>48</v>
      </c>
      <c r="F16" s="8" t="s">
        <v>50</v>
      </c>
      <c r="G16" s="8" t="s">
        <v>56</v>
      </c>
      <c r="H16" s="8" t="s">
        <v>241</v>
      </c>
      <c r="I16" s="8" t="s">
        <v>242</v>
      </c>
      <c r="J16" s="8" t="s">
        <v>244</v>
      </c>
      <c r="K16" s="9" t="s">
        <v>246</v>
      </c>
      <c r="L16" s="9" t="s">
        <v>62</v>
      </c>
      <c r="M16" s="9" t="s">
        <v>41</v>
      </c>
      <c r="N16" s="9" t="s">
        <v>13</v>
      </c>
      <c r="O16" s="9" t="s">
        <v>248</v>
      </c>
      <c r="P16" s="9" t="s">
        <v>250</v>
      </c>
    </row>
    <row r="17" ht="49.5" customHeight="1">
      <c r="A17" s="8" t="s">
        <v>252</v>
      </c>
      <c r="B17" s="8" t="s">
        <v>49</v>
      </c>
      <c r="C17" s="8" t="s">
        <v>49</v>
      </c>
      <c r="D17" s="8" t="s">
        <v>254</v>
      </c>
      <c r="E17" s="8" t="s">
        <v>72</v>
      </c>
      <c r="F17" s="8" t="s">
        <v>117</v>
      </c>
      <c r="G17" s="8" t="s">
        <v>56</v>
      </c>
      <c r="H17" s="8" t="s">
        <v>259</v>
      </c>
      <c r="I17" s="8" t="s">
        <v>58</v>
      </c>
      <c r="J17" s="8" t="s">
        <v>262</v>
      </c>
      <c r="K17" s="9"/>
      <c r="L17" s="9" t="s">
        <v>266</v>
      </c>
      <c r="M17" s="9"/>
      <c r="N17" s="9"/>
      <c r="O17" s="9"/>
      <c r="P17" s="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P$17"/>
  <dataValidations>
    <dataValidation type="list" allowBlank="1" sqref="L6:L17">
      <formula1>"Pass,Fail,Blocked,Not Executed"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15.57"/>
    <col customWidth="1" min="2" max="2" width="12.0"/>
    <col customWidth="1" min="3" max="3" width="36.0"/>
    <col customWidth="1" min="4" max="4" width="13.0"/>
    <col customWidth="1" min="5" max="5" width="26.0"/>
    <col customWidth="1" min="6" max="6" width="11.0"/>
    <col customWidth="1" min="7" max="7" width="10.0"/>
    <col customWidth="1" min="8" max="8" width="24.0"/>
    <col customWidth="1" min="9" max="9" width="46.0"/>
    <col customWidth="1" min="10" max="10" width="26.0"/>
    <col customWidth="1" min="11" max="12" width="38.0"/>
    <col customWidth="1" min="13" max="13" width="12.0"/>
    <col customWidth="1" min="14" max="14" width="15.0"/>
    <col customWidth="1" min="15" max="15" width="12.0"/>
    <col customWidth="1" min="16" max="16" width="22.0"/>
    <col customWidth="1" min="17" max="26" width="8.57"/>
  </cols>
  <sheetData>
    <row r="1" ht="18.0" customHeight="1">
      <c r="A1" s="4" t="s">
        <v>223</v>
      </c>
    </row>
    <row r="2" ht="14.25" customHeight="1">
      <c r="A2" s="6" t="s">
        <v>228</v>
      </c>
    </row>
    <row r="3" ht="14.25" customHeight="1"/>
    <row r="4" ht="14.25" customHeight="1"/>
    <row r="5" ht="14.25" customHeight="1">
      <c r="A5" s="7" t="s">
        <v>238</v>
      </c>
      <c r="B5" s="7" t="s">
        <v>30</v>
      </c>
      <c r="C5" s="7" t="s">
        <v>243</v>
      </c>
      <c r="D5" s="7" t="s">
        <v>245</v>
      </c>
      <c r="E5" s="7" t="s">
        <v>14</v>
      </c>
      <c r="F5" s="7" t="s">
        <v>247</v>
      </c>
      <c r="G5" s="7" t="s">
        <v>249</v>
      </c>
      <c r="H5" s="7" t="s">
        <v>35</v>
      </c>
      <c r="I5" s="7" t="s">
        <v>253</v>
      </c>
      <c r="J5" s="7" t="s">
        <v>37</v>
      </c>
      <c r="K5" s="7" t="s">
        <v>38</v>
      </c>
      <c r="L5" s="7" t="s">
        <v>256</v>
      </c>
      <c r="M5" s="7" t="s">
        <v>257</v>
      </c>
      <c r="N5" s="7" t="s">
        <v>258</v>
      </c>
      <c r="O5" s="7" t="s">
        <v>261</v>
      </c>
      <c r="P5" s="7" t="s">
        <v>263</v>
      </c>
    </row>
    <row r="6" ht="39.0" customHeight="1">
      <c r="A6" s="12" t="s">
        <v>267</v>
      </c>
      <c r="B6" s="13" t="s">
        <v>45</v>
      </c>
      <c r="C6" s="12" t="s">
        <v>274</v>
      </c>
      <c r="D6" s="12" t="s">
        <v>67</v>
      </c>
      <c r="E6" s="12" t="s">
        <v>276</v>
      </c>
      <c r="F6" s="12" t="s">
        <v>177</v>
      </c>
      <c r="G6" s="12" t="s">
        <v>177</v>
      </c>
      <c r="H6" s="8" t="s">
        <v>280</v>
      </c>
      <c r="I6" s="8" t="s">
        <v>282</v>
      </c>
      <c r="J6" s="13" t="s">
        <v>76</v>
      </c>
      <c r="K6" s="13" t="s">
        <v>284</v>
      </c>
      <c r="L6" s="12" t="s">
        <v>286</v>
      </c>
      <c r="M6" s="12" t="s">
        <v>289</v>
      </c>
      <c r="N6" s="12" t="s">
        <v>13</v>
      </c>
      <c r="O6" s="12" t="s">
        <v>41</v>
      </c>
      <c r="P6" s="12" t="s">
        <v>290</v>
      </c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4.75" customHeight="1">
      <c r="A7" s="12" t="s">
        <v>295</v>
      </c>
      <c r="B7" s="13" t="s">
        <v>45</v>
      </c>
      <c r="C7" s="12" t="s">
        <v>298</v>
      </c>
      <c r="D7" s="12" t="s">
        <v>198</v>
      </c>
      <c r="E7" s="12" t="s">
        <v>276</v>
      </c>
      <c r="F7" s="12" t="s">
        <v>117</v>
      </c>
      <c r="G7" s="12" t="s">
        <v>177</v>
      </c>
      <c r="H7" s="13" t="s">
        <v>299</v>
      </c>
      <c r="I7" s="13" t="s">
        <v>300</v>
      </c>
      <c r="J7" s="13" t="s">
        <v>302</v>
      </c>
      <c r="K7" s="13" t="s">
        <v>303</v>
      </c>
      <c r="L7" s="12" t="s">
        <v>304</v>
      </c>
      <c r="M7" s="12" t="s">
        <v>289</v>
      </c>
      <c r="N7" s="12" t="s">
        <v>13</v>
      </c>
      <c r="O7" s="12" t="s">
        <v>41</v>
      </c>
      <c r="P7" s="12" t="s">
        <v>306</v>
      </c>
    </row>
    <row r="8" ht="24.75" customHeight="1">
      <c r="A8" s="12" t="s">
        <v>308</v>
      </c>
      <c r="B8" s="13" t="s">
        <v>45</v>
      </c>
      <c r="C8" s="12" t="s">
        <v>310</v>
      </c>
      <c r="D8" s="12" t="s">
        <v>198</v>
      </c>
      <c r="E8" s="12" t="s">
        <v>276</v>
      </c>
      <c r="F8" s="12" t="s">
        <v>177</v>
      </c>
      <c r="G8" s="12" t="s">
        <v>177</v>
      </c>
      <c r="H8" s="13" t="s">
        <v>312</v>
      </c>
      <c r="I8" s="13" t="s">
        <v>314</v>
      </c>
      <c r="J8" s="13" t="s">
        <v>58</v>
      </c>
      <c r="K8" s="13" t="s">
        <v>317</v>
      </c>
      <c r="L8" s="12" t="s">
        <v>318</v>
      </c>
      <c r="M8" s="12" t="s">
        <v>289</v>
      </c>
      <c r="N8" s="12" t="s">
        <v>13</v>
      </c>
      <c r="O8" s="12" t="s">
        <v>41</v>
      </c>
      <c r="P8" s="12" t="s">
        <v>320</v>
      </c>
    </row>
    <row r="9" ht="24.75" customHeight="1">
      <c r="A9" s="12" t="s">
        <v>63</v>
      </c>
      <c r="B9" s="13" t="s">
        <v>45</v>
      </c>
      <c r="C9" s="12" t="s">
        <v>324</v>
      </c>
      <c r="D9" s="12" t="s">
        <v>44</v>
      </c>
      <c r="E9" s="12" t="s">
        <v>326</v>
      </c>
      <c r="F9" s="12" t="s">
        <v>177</v>
      </c>
      <c r="G9" s="12" t="s">
        <v>177</v>
      </c>
      <c r="H9" s="13" t="s">
        <v>327</v>
      </c>
      <c r="I9" s="13" t="s">
        <v>328</v>
      </c>
      <c r="J9" s="13" t="s">
        <v>329</v>
      </c>
      <c r="K9" s="13" t="s">
        <v>330</v>
      </c>
      <c r="L9" s="12" t="s">
        <v>331</v>
      </c>
      <c r="M9" s="12" t="s">
        <v>289</v>
      </c>
      <c r="N9" s="12" t="s">
        <v>13</v>
      </c>
      <c r="O9" s="12" t="s">
        <v>41</v>
      </c>
      <c r="P9" s="12" t="s">
        <v>332</v>
      </c>
    </row>
    <row r="10" ht="24.75" customHeight="1">
      <c r="A10" s="12" t="s">
        <v>108</v>
      </c>
      <c r="B10" s="13" t="s">
        <v>45</v>
      </c>
      <c r="C10" s="12" t="s">
        <v>333</v>
      </c>
      <c r="D10" s="12" t="s">
        <v>98</v>
      </c>
      <c r="E10" s="12" t="s">
        <v>276</v>
      </c>
      <c r="F10" s="12" t="s">
        <v>177</v>
      </c>
      <c r="G10" s="12" t="s">
        <v>117</v>
      </c>
      <c r="H10" s="13" t="s">
        <v>334</v>
      </c>
      <c r="I10" s="13" t="s">
        <v>335</v>
      </c>
      <c r="J10" s="13" t="s">
        <v>58</v>
      </c>
      <c r="K10" s="13" t="s">
        <v>336</v>
      </c>
      <c r="L10" s="12" t="s">
        <v>337</v>
      </c>
      <c r="M10" s="12" t="s">
        <v>289</v>
      </c>
      <c r="N10" s="12" t="s">
        <v>13</v>
      </c>
      <c r="O10" s="12" t="s">
        <v>41</v>
      </c>
      <c r="P10" s="12" t="s">
        <v>338</v>
      </c>
    </row>
    <row r="11" ht="24.75" customHeight="1">
      <c r="A11" s="12" t="s">
        <v>339</v>
      </c>
      <c r="B11" s="13" t="s">
        <v>45</v>
      </c>
      <c r="C11" s="12" t="s">
        <v>340</v>
      </c>
      <c r="D11" s="12" t="s">
        <v>198</v>
      </c>
      <c r="E11" s="12" t="s">
        <v>276</v>
      </c>
      <c r="F11" s="12" t="s">
        <v>177</v>
      </c>
      <c r="G11" s="12" t="s">
        <v>177</v>
      </c>
      <c r="H11" s="13" t="s">
        <v>341</v>
      </c>
      <c r="I11" s="13" t="s">
        <v>342</v>
      </c>
      <c r="J11" s="13" t="s">
        <v>343</v>
      </c>
      <c r="K11" s="13" t="s">
        <v>344</v>
      </c>
      <c r="L11" s="12" t="s">
        <v>345</v>
      </c>
      <c r="M11" s="12" t="s">
        <v>289</v>
      </c>
      <c r="N11" s="12" t="s">
        <v>13</v>
      </c>
      <c r="O11" s="12" t="s">
        <v>41</v>
      </c>
      <c r="P11" s="12" t="s">
        <v>346</v>
      </c>
    </row>
    <row r="12" ht="24.75" customHeight="1">
      <c r="A12" s="12" t="s">
        <v>347</v>
      </c>
      <c r="B12" s="13" t="s">
        <v>45</v>
      </c>
      <c r="C12" s="12" t="s">
        <v>348</v>
      </c>
      <c r="D12" s="12" t="s">
        <v>67</v>
      </c>
      <c r="E12" s="12" t="s">
        <v>276</v>
      </c>
      <c r="F12" s="12" t="s">
        <v>117</v>
      </c>
      <c r="G12" s="12" t="s">
        <v>50</v>
      </c>
      <c r="H12" s="13" t="s">
        <v>349</v>
      </c>
      <c r="I12" s="13" t="s">
        <v>350</v>
      </c>
      <c r="J12" s="13" t="s">
        <v>351</v>
      </c>
      <c r="K12" s="13" t="s">
        <v>352</v>
      </c>
      <c r="L12" s="12" t="s">
        <v>353</v>
      </c>
      <c r="M12" s="12" t="s">
        <v>289</v>
      </c>
      <c r="N12" s="12" t="s">
        <v>13</v>
      </c>
      <c r="O12" s="12" t="s">
        <v>41</v>
      </c>
      <c r="P12" s="12" t="s">
        <v>354</v>
      </c>
    </row>
    <row r="13" ht="24.75" customHeight="1">
      <c r="A13" s="12" t="s">
        <v>155</v>
      </c>
      <c r="B13" s="13" t="s">
        <v>69</v>
      </c>
      <c r="C13" s="12" t="s">
        <v>355</v>
      </c>
      <c r="D13" s="12" t="s">
        <v>131</v>
      </c>
      <c r="E13" s="12" t="s">
        <v>276</v>
      </c>
      <c r="F13" s="12" t="s">
        <v>50</v>
      </c>
      <c r="G13" s="12" t="s">
        <v>50</v>
      </c>
      <c r="H13" s="13" t="s">
        <v>356</v>
      </c>
      <c r="I13" s="13" t="s">
        <v>357</v>
      </c>
      <c r="J13" s="13" t="s">
        <v>143</v>
      </c>
      <c r="K13" s="13" t="s">
        <v>358</v>
      </c>
      <c r="L13" s="12" t="s">
        <v>359</v>
      </c>
      <c r="M13" s="12" t="s">
        <v>289</v>
      </c>
      <c r="N13" s="12" t="s">
        <v>13</v>
      </c>
      <c r="O13" s="12" t="s">
        <v>41</v>
      </c>
      <c r="P13" s="12" t="s">
        <v>360</v>
      </c>
    </row>
    <row r="14" ht="24.75" customHeight="1">
      <c r="A14" s="12" t="s">
        <v>268</v>
      </c>
      <c r="B14" s="13" t="s">
        <v>69</v>
      </c>
      <c r="C14" s="12" t="s">
        <v>361</v>
      </c>
      <c r="D14" s="12" t="s">
        <v>251</v>
      </c>
      <c r="E14" s="12" t="s">
        <v>276</v>
      </c>
      <c r="F14" s="12" t="s">
        <v>177</v>
      </c>
      <c r="G14" s="12" t="s">
        <v>117</v>
      </c>
      <c r="H14" s="13" t="s">
        <v>362</v>
      </c>
      <c r="I14" s="13" t="s">
        <v>363</v>
      </c>
      <c r="J14" s="13" t="s">
        <v>364</v>
      </c>
      <c r="K14" s="13" t="s">
        <v>365</v>
      </c>
      <c r="L14" s="12" t="s">
        <v>366</v>
      </c>
      <c r="M14" s="12" t="s">
        <v>289</v>
      </c>
      <c r="N14" s="12" t="s">
        <v>13</v>
      </c>
      <c r="O14" s="12" t="s">
        <v>41</v>
      </c>
      <c r="P14" s="12" t="s">
        <v>367</v>
      </c>
    </row>
    <row r="15" ht="24.75" customHeight="1">
      <c r="A15" s="12" t="s">
        <v>126</v>
      </c>
      <c r="B15" s="13" t="s">
        <v>69</v>
      </c>
      <c r="C15" s="12" t="s">
        <v>368</v>
      </c>
      <c r="D15" s="12" t="s">
        <v>102</v>
      </c>
      <c r="E15" s="12" t="s">
        <v>276</v>
      </c>
      <c r="F15" s="12" t="s">
        <v>177</v>
      </c>
      <c r="G15" s="12" t="s">
        <v>177</v>
      </c>
      <c r="H15" s="13" t="s">
        <v>369</v>
      </c>
      <c r="I15" s="13" t="s">
        <v>370</v>
      </c>
      <c r="J15" s="13" t="s">
        <v>371</v>
      </c>
      <c r="K15" s="13" t="s">
        <v>372</v>
      </c>
      <c r="L15" s="12" t="s">
        <v>373</v>
      </c>
      <c r="M15" s="12" t="s">
        <v>289</v>
      </c>
      <c r="N15" s="12" t="s">
        <v>13</v>
      </c>
      <c r="O15" s="12" t="s">
        <v>41</v>
      </c>
      <c r="P15" s="12" t="s">
        <v>374</v>
      </c>
    </row>
    <row r="16" ht="24.75" customHeight="1">
      <c r="A16" s="12" t="s">
        <v>277</v>
      </c>
      <c r="B16" s="13" t="s">
        <v>69</v>
      </c>
      <c r="C16" s="12" t="s">
        <v>375</v>
      </c>
      <c r="D16" s="12" t="s">
        <v>270</v>
      </c>
      <c r="E16" s="12" t="s">
        <v>376</v>
      </c>
      <c r="F16" s="12" t="s">
        <v>117</v>
      </c>
      <c r="G16" s="12" t="s">
        <v>117</v>
      </c>
      <c r="H16" s="13" t="s">
        <v>377</v>
      </c>
      <c r="I16" s="13" t="s">
        <v>378</v>
      </c>
      <c r="J16" s="13" t="s">
        <v>379</v>
      </c>
      <c r="K16" s="13" t="s">
        <v>380</v>
      </c>
      <c r="L16" s="12" t="s">
        <v>381</v>
      </c>
      <c r="M16" s="12" t="s">
        <v>289</v>
      </c>
      <c r="N16" s="12" t="s">
        <v>13</v>
      </c>
      <c r="O16" s="12" t="s">
        <v>41</v>
      </c>
      <c r="P16" s="12" t="s">
        <v>382</v>
      </c>
    </row>
    <row r="17" ht="24.75" customHeight="1">
      <c r="A17" s="12" t="s">
        <v>313</v>
      </c>
      <c r="B17" s="13" t="s">
        <v>69</v>
      </c>
      <c r="C17" s="12" t="s">
        <v>383</v>
      </c>
      <c r="D17" s="12" t="s">
        <v>301</v>
      </c>
      <c r="E17" s="12" t="s">
        <v>276</v>
      </c>
      <c r="F17" s="12" t="s">
        <v>117</v>
      </c>
      <c r="G17" s="12" t="s">
        <v>117</v>
      </c>
      <c r="H17" s="13" t="s">
        <v>384</v>
      </c>
      <c r="I17" s="13" t="s">
        <v>385</v>
      </c>
      <c r="J17" s="13" t="s">
        <v>386</v>
      </c>
      <c r="K17" s="13" t="s">
        <v>387</v>
      </c>
      <c r="L17" s="12" t="s">
        <v>388</v>
      </c>
      <c r="M17" s="12" t="s">
        <v>289</v>
      </c>
      <c r="N17" s="12" t="s">
        <v>13</v>
      </c>
      <c r="O17" s="12" t="s">
        <v>41</v>
      </c>
      <c r="P17" s="12" t="s">
        <v>389</v>
      </c>
    </row>
    <row r="18" ht="24.75" customHeight="1">
      <c r="A18" s="12" t="s">
        <v>97</v>
      </c>
      <c r="B18" s="13" t="s">
        <v>69</v>
      </c>
      <c r="C18" s="12" t="s">
        <v>390</v>
      </c>
      <c r="D18" s="12" t="s">
        <v>65</v>
      </c>
      <c r="E18" s="12" t="s">
        <v>276</v>
      </c>
      <c r="F18" s="12" t="s">
        <v>177</v>
      </c>
      <c r="G18" s="12" t="s">
        <v>177</v>
      </c>
      <c r="H18" s="13" t="s">
        <v>391</v>
      </c>
      <c r="I18" s="13" t="s">
        <v>392</v>
      </c>
      <c r="J18" s="13" t="s">
        <v>393</v>
      </c>
      <c r="K18" s="13" t="s">
        <v>394</v>
      </c>
      <c r="L18" s="12" t="s">
        <v>395</v>
      </c>
      <c r="M18" s="12" t="s">
        <v>289</v>
      </c>
      <c r="N18" s="12" t="s">
        <v>13</v>
      </c>
      <c r="O18" s="12" t="s">
        <v>41</v>
      </c>
      <c r="P18" s="12" t="s">
        <v>396</v>
      </c>
    </row>
    <row r="19" ht="24.75" customHeight="1">
      <c r="A19" s="12" t="s">
        <v>291</v>
      </c>
      <c r="B19" s="13" t="s">
        <v>69</v>
      </c>
      <c r="C19" s="12" t="s">
        <v>397</v>
      </c>
      <c r="D19" s="12" t="s">
        <v>279</v>
      </c>
      <c r="E19" s="12" t="s">
        <v>276</v>
      </c>
      <c r="F19" s="12" t="s">
        <v>117</v>
      </c>
      <c r="G19" s="12" t="s">
        <v>50</v>
      </c>
      <c r="H19" s="13" t="s">
        <v>398</v>
      </c>
      <c r="I19" s="13" t="s">
        <v>399</v>
      </c>
      <c r="J19" s="13" t="s">
        <v>285</v>
      </c>
      <c r="K19" s="13" t="s">
        <v>400</v>
      </c>
      <c r="L19" s="12" t="s">
        <v>401</v>
      </c>
      <c r="M19" s="12" t="s">
        <v>289</v>
      </c>
      <c r="N19" s="12" t="s">
        <v>13</v>
      </c>
      <c r="O19" s="12" t="s">
        <v>41</v>
      </c>
      <c r="P19" s="12" t="s">
        <v>402</v>
      </c>
    </row>
    <row r="20" ht="24.75" customHeight="1">
      <c r="A20" s="12" t="s">
        <v>203</v>
      </c>
      <c r="B20" s="13" t="s">
        <v>69</v>
      </c>
      <c r="C20" s="12" t="s">
        <v>403</v>
      </c>
      <c r="D20" s="12" t="s">
        <v>182</v>
      </c>
      <c r="E20" s="12" t="s">
        <v>276</v>
      </c>
      <c r="F20" s="12" t="s">
        <v>177</v>
      </c>
      <c r="G20" s="12" t="s">
        <v>177</v>
      </c>
      <c r="H20" s="13" t="s">
        <v>404</v>
      </c>
      <c r="I20" s="13" t="s">
        <v>405</v>
      </c>
      <c r="J20" s="13" t="s">
        <v>406</v>
      </c>
      <c r="K20" s="13" t="s">
        <v>407</v>
      </c>
      <c r="L20" s="12" t="s">
        <v>408</v>
      </c>
      <c r="M20" s="12" t="s">
        <v>289</v>
      </c>
      <c r="N20" s="12" t="s">
        <v>13</v>
      </c>
      <c r="O20" s="12" t="s">
        <v>41</v>
      </c>
      <c r="P20" s="12" t="s">
        <v>409</v>
      </c>
    </row>
    <row r="21" ht="24.75" customHeight="1">
      <c r="A21" s="12" t="s">
        <v>410</v>
      </c>
      <c r="B21" s="13" t="s">
        <v>49</v>
      </c>
      <c r="C21" s="12" t="s">
        <v>411</v>
      </c>
      <c r="D21" s="12" t="s">
        <v>252</v>
      </c>
      <c r="E21" s="12" t="s">
        <v>276</v>
      </c>
      <c r="F21" s="12" t="s">
        <v>117</v>
      </c>
      <c r="G21" s="12" t="s">
        <v>117</v>
      </c>
      <c r="H21" s="13" t="s">
        <v>412</v>
      </c>
      <c r="I21" s="13" t="s">
        <v>413</v>
      </c>
      <c r="J21" s="13" t="s">
        <v>414</v>
      </c>
      <c r="K21" s="13" t="s">
        <v>415</v>
      </c>
      <c r="L21" s="12" t="s">
        <v>416</v>
      </c>
      <c r="M21" s="12" t="s">
        <v>289</v>
      </c>
      <c r="N21" s="12" t="s">
        <v>13</v>
      </c>
      <c r="O21" s="12" t="s">
        <v>41</v>
      </c>
      <c r="P21" s="12" t="s">
        <v>417</v>
      </c>
    </row>
    <row r="22" ht="24.75" customHeight="1">
      <c r="A22" s="12" t="s">
        <v>128</v>
      </c>
      <c r="B22" s="15" t="s">
        <v>49</v>
      </c>
      <c r="C22" s="12" t="s">
        <v>418</v>
      </c>
      <c r="D22" s="12" t="s">
        <v>109</v>
      </c>
      <c r="E22" s="12" t="s">
        <v>276</v>
      </c>
      <c r="F22" s="12" t="s">
        <v>177</v>
      </c>
      <c r="G22" s="12" t="s">
        <v>177</v>
      </c>
      <c r="H22" s="13" t="s">
        <v>419</v>
      </c>
      <c r="I22" s="13" t="s">
        <v>420</v>
      </c>
      <c r="J22" s="13" t="s">
        <v>421</v>
      </c>
      <c r="K22" s="13" t="s">
        <v>422</v>
      </c>
      <c r="L22" s="12" t="s">
        <v>423</v>
      </c>
      <c r="M22" s="12" t="s">
        <v>289</v>
      </c>
      <c r="N22" s="12" t="s">
        <v>13</v>
      </c>
      <c r="O22" s="12" t="s">
        <v>41</v>
      </c>
      <c r="P22" s="12" t="s">
        <v>424</v>
      </c>
    </row>
    <row r="23" ht="24.75" customHeight="1">
      <c r="A23" s="12" t="s">
        <v>149</v>
      </c>
      <c r="B23" s="15" t="s">
        <v>49</v>
      </c>
      <c r="C23" s="12" t="s">
        <v>425</v>
      </c>
      <c r="D23" s="12" t="s">
        <v>132</v>
      </c>
      <c r="E23" s="12" t="s">
        <v>276</v>
      </c>
      <c r="F23" s="12" t="s">
        <v>50</v>
      </c>
      <c r="G23" s="12" t="s">
        <v>50</v>
      </c>
      <c r="H23" s="13" t="s">
        <v>426</v>
      </c>
      <c r="I23" s="13" t="s">
        <v>427</v>
      </c>
      <c r="J23" s="13" t="s">
        <v>428</v>
      </c>
      <c r="K23" s="13" t="s">
        <v>429</v>
      </c>
      <c r="L23" s="12" t="s">
        <v>430</v>
      </c>
      <c r="M23" s="12" t="s">
        <v>289</v>
      </c>
      <c r="N23" s="12" t="s">
        <v>13</v>
      </c>
      <c r="O23" s="12" t="s">
        <v>41</v>
      </c>
      <c r="P23" s="12" t="s">
        <v>431</v>
      </c>
    </row>
    <row r="24" ht="24.75" customHeight="1">
      <c r="A24" s="12" t="s">
        <v>192</v>
      </c>
      <c r="B24" s="15" t="s">
        <v>49</v>
      </c>
      <c r="C24" s="12" t="s">
        <v>432</v>
      </c>
      <c r="D24" s="12" t="s">
        <v>176</v>
      </c>
      <c r="E24" s="12" t="s">
        <v>276</v>
      </c>
      <c r="F24" s="12" t="s">
        <v>117</v>
      </c>
      <c r="G24" s="12" t="s">
        <v>177</v>
      </c>
      <c r="H24" s="13" t="s">
        <v>433</v>
      </c>
      <c r="I24" s="13" t="s">
        <v>434</v>
      </c>
      <c r="J24" s="13" t="s">
        <v>435</v>
      </c>
      <c r="K24" s="13" t="s">
        <v>436</v>
      </c>
      <c r="L24" s="12" t="s">
        <v>437</v>
      </c>
      <c r="M24" s="12" t="s">
        <v>289</v>
      </c>
      <c r="N24" s="12" t="s">
        <v>13</v>
      </c>
      <c r="O24" s="12" t="s">
        <v>41</v>
      </c>
      <c r="P24" s="12" t="s">
        <v>438</v>
      </c>
    </row>
    <row r="25" ht="24.75" customHeight="1">
      <c r="A25" s="12" t="s">
        <v>439</v>
      </c>
      <c r="B25" s="15" t="s">
        <v>49</v>
      </c>
      <c r="C25" s="12" t="s">
        <v>440</v>
      </c>
      <c r="D25" s="12" t="s">
        <v>235</v>
      </c>
      <c r="E25" s="12" t="s">
        <v>276</v>
      </c>
      <c r="F25" s="12" t="s">
        <v>177</v>
      </c>
      <c r="G25" s="12" t="s">
        <v>177</v>
      </c>
      <c r="H25" s="13" t="s">
        <v>441</v>
      </c>
      <c r="I25" s="13" t="s">
        <v>442</v>
      </c>
      <c r="J25" s="13" t="s">
        <v>443</v>
      </c>
      <c r="K25" s="13" t="s">
        <v>444</v>
      </c>
      <c r="L25" s="12" t="s">
        <v>445</v>
      </c>
      <c r="M25" s="12" t="s">
        <v>289</v>
      </c>
      <c r="N25" s="12" t="s">
        <v>13</v>
      </c>
      <c r="O25" s="12" t="s">
        <v>41</v>
      </c>
      <c r="P25" s="12" t="s">
        <v>446</v>
      </c>
    </row>
    <row r="26" ht="24.75" customHeight="1">
      <c r="A26" s="16" t="s">
        <v>233</v>
      </c>
      <c r="B26" s="17" t="s">
        <v>49</v>
      </c>
      <c r="C26" s="16" t="s">
        <v>447</v>
      </c>
      <c r="D26" s="16" t="s">
        <v>222</v>
      </c>
      <c r="E26" s="16" t="s">
        <v>276</v>
      </c>
      <c r="F26" s="16" t="s">
        <v>177</v>
      </c>
      <c r="G26" s="16" t="s">
        <v>177</v>
      </c>
      <c r="H26" s="18" t="s">
        <v>448</v>
      </c>
      <c r="I26" s="18" t="s">
        <v>449</v>
      </c>
      <c r="J26" s="18" t="s">
        <v>450</v>
      </c>
      <c r="K26" s="18" t="s">
        <v>451</v>
      </c>
      <c r="L26" s="16" t="s">
        <v>452</v>
      </c>
      <c r="M26" s="16" t="s">
        <v>289</v>
      </c>
      <c r="N26" s="16" t="s">
        <v>13</v>
      </c>
      <c r="O26" s="16" t="s">
        <v>41</v>
      </c>
      <c r="P26" s="16" t="s">
        <v>453</v>
      </c>
    </row>
    <row r="27" ht="14.25" customHeight="1">
      <c r="A27" s="19" t="s">
        <v>454</v>
      </c>
      <c r="B27" s="20" t="s">
        <v>49</v>
      </c>
      <c r="C27" s="21" t="s">
        <v>455</v>
      </c>
      <c r="D27" s="21" t="s">
        <v>154</v>
      </c>
      <c r="E27" s="21" t="s">
        <v>276</v>
      </c>
      <c r="F27" s="21" t="s">
        <v>117</v>
      </c>
      <c r="G27" s="21" t="s">
        <v>50</v>
      </c>
      <c r="H27" s="22" t="s">
        <v>456</v>
      </c>
      <c r="I27" s="22" t="s">
        <v>457</v>
      </c>
      <c r="J27" s="22" t="s">
        <v>458</v>
      </c>
      <c r="K27" s="22" t="s">
        <v>459</v>
      </c>
      <c r="L27" s="21" t="s">
        <v>460</v>
      </c>
      <c r="M27" s="21" t="s">
        <v>289</v>
      </c>
      <c r="N27" s="21" t="s">
        <v>13</v>
      </c>
      <c r="O27" s="21" t="s">
        <v>41</v>
      </c>
      <c r="P27" s="21" t="s">
        <v>173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19" t="s">
        <v>90</v>
      </c>
      <c r="B28" s="20" t="s">
        <v>49</v>
      </c>
      <c r="C28" s="21" t="s">
        <v>461</v>
      </c>
      <c r="D28" s="21" t="s">
        <v>70</v>
      </c>
      <c r="E28" s="21" t="s">
        <v>276</v>
      </c>
      <c r="F28" s="21" t="s">
        <v>50</v>
      </c>
      <c r="G28" s="21" t="s">
        <v>50</v>
      </c>
      <c r="H28" s="22" t="s">
        <v>462</v>
      </c>
      <c r="I28" s="22" t="s">
        <v>463</v>
      </c>
      <c r="J28" s="22" t="s">
        <v>464</v>
      </c>
      <c r="K28" s="22" t="s">
        <v>465</v>
      </c>
      <c r="L28" s="21" t="s">
        <v>466</v>
      </c>
      <c r="M28" s="21" t="s">
        <v>289</v>
      </c>
      <c r="N28" s="21" t="s">
        <v>13</v>
      </c>
      <c r="O28" s="21" t="s">
        <v>41</v>
      </c>
      <c r="P28" s="21" t="s">
        <v>92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19" t="s">
        <v>467</v>
      </c>
      <c r="B29" s="20" t="s">
        <v>49</v>
      </c>
      <c r="C29" s="21" t="s">
        <v>468</v>
      </c>
      <c r="D29" s="21" t="s">
        <v>235</v>
      </c>
      <c r="E29" s="21" t="s">
        <v>276</v>
      </c>
      <c r="F29" s="21" t="s">
        <v>117</v>
      </c>
      <c r="G29" s="21" t="s">
        <v>117</v>
      </c>
      <c r="H29" s="22" t="s">
        <v>469</v>
      </c>
      <c r="I29" s="22" t="s">
        <v>470</v>
      </c>
      <c r="J29" s="22" t="s">
        <v>471</v>
      </c>
      <c r="K29" s="22" t="s">
        <v>472</v>
      </c>
      <c r="L29" s="21" t="s">
        <v>473</v>
      </c>
      <c r="M29" s="21" t="s">
        <v>289</v>
      </c>
      <c r="N29" s="21" t="s">
        <v>13</v>
      </c>
      <c r="O29" s="21" t="s">
        <v>41</v>
      </c>
      <c r="P29" s="21" t="s">
        <v>474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19" t="s">
        <v>66</v>
      </c>
      <c r="B30" s="20" t="s">
        <v>49</v>
      </c>
      <c r="C30" s="21" t="s">
        <v>475</v>
      </c>
      <c r="D30" s="21" t="s">
        <v>46</v>
      </c>
      <c r="E30" s="21" t="s">
        <v>276</v>
      </c>
      <c r="F30" s="21" t="s">
        <v>177</v>
      </c>
      <c r="G30" s="21" t="s">
        <v>117</v>
      </c>
      <c r="H30" s="22" t="s">
        <v>476</v>
      </c>
      <c r="I30" s="22" t="s">
        <v>477</v>
      </c>
      <c r="J30" s="22" t="s">
        <v>478</v>
      </c>
      <c r="K30" s="22" t="s">
        <v>479</v>
      </c>
      <c r="L30" s="21" t="s">
        <v>480</v>
      </c>
      <c r="M30" s="21" t="s">
        <v>289</v>
      </c>
      <c r="N30" s="21" t="s">
        <v>13</v>
      </c>
      <c r="O30" s="21" t="s">
        <v>41</v>
      </c>
      <c r="P30" s="21" t="s">
        <v>481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P$26"/>
  <dataValidations>
    <dataValidation type="list" allowBlank="1" sqref="F6:F26">
      <formula1>"Critical,Major,Medium,Minor"</formula1>
    </dataValidation>
    <dataValidation type="list" allowBlank="1" sqref="M6:M26">
      <formula1>"New,Open,In Progress,Fixed,Retest,Closed,Rejected"</formula1>
    </dataValidation>
    <dataValidation type="list" allowBlank="1" sqref="G6:G26">
      <formula1>"High,Medium,Low"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6.0"/>
    <col customWidth="1" min="9" max="26" width="8.57"/>
  </cols>
  <sheetData>
    <row r="1" ht="18.0" customHeight="1">
      <c r="A1" s="4" t="s">
        <v>482</v>
      </c>
    </row>
    <row r="2" ht="14.25" customHeight="1"/>
    <row r="3" ht="14.25" customHeight="1">
      <c r="A3" s="7" t="s">
        <v>30</v>
      </c>
      <c r="B3" s="7">
        <v>12.0</v>
      </c>
      <c r="C3" s="7">
        <v>8.0</v>
      </c>
      <c r="D3" s="7">
        <v>4.0</v>
      </c>
      <c r="E3" s="7">
        <v>0.0</v>
      </c>
      <c r="F3" s="7">
        <v>0.0</v>
      </c>
      <c r="G3" s="7">
        <v>0.6666666666666666</v>
      </c>
      <c r="H3" s="7">
        <v>7.0</v>
      </c>
    </row>
    <row r="4" ht="14.25" customHeight="1">
      <c r="A4" s="8" t="s">
        <v>45</v>
      </c>
      <c r="B4" s="8">
        <v>12.0</v>
      </c>
      <c r="C4" s="8">
        <v>4.0</v>
      </c>
      <c r="D4" s="8">
        <v>8.0</v>
      </c>
      <c r="E4" s="8">
        <v>0.0</v>
      </c>
      <c r="F4" s="8">
        <v>0.0</v>
      </c>
      <c r="G4" s="24">
        <v>0.3333333333333333</v>
      </c>
      <c r="H4" s="8">
        <v>8.0</v>
      </c>
    </row>
    <row r="5" ht="14.25" customHeight="1">
      <c r="A5" s="8" t="s">
        <v>69</v>
      </c>
      <c r="B5" s="8">
        <v>12.0</v>
      </c>
      <c r="C5" s="8">
        <v>3.0</v>
      </c>
      <c r="D5" s="8">
        <v>9.0</v>
      </c>
      <c r="E5" s="8">
        <v>0.0</v>
      </c>
      <c r="F5" s="8">
        <v>0.0</v>
      </c>
      <c r="G5" s="24">
        <v>0.25</v>
      </c>
      <c r="H5" s="8">
        <v>10.0</v>
      </c>
    </row>
    <row r="6" ht="14.25" customHeight="1">
      <c r="A6" s="8" t="s">
        <v>49</v>
      </c>
      <c r="B6" s="8">
        <v>36.0</v>
      </c>
      <c r="C6" s="8">
        <v>15.0</v>
      </c>
      <c r="D6" s="8">
        <v>21.0</v>
      </c>
      <c r="E6" s="8">
        <v>0.0</v>
      </c>
      <c r="F6" s="8">
        <v>0.0</v>
      </c>
      <c r="G6" s="24">
        <v>0.4166666666666667</v>
      </c>
      <c r="H6" s="8">
        <v>25.0</v>
      </c>
    </row>
    <row r="7" ht="14.25" customHeight="1">
      <c r="A7" s="25" t="s">
        <v>483</v>
      </c>
      <c r="B7" s="25">
        <f t="shared" ref="B7:F7" si="1">SUM(B4:B6)</f>
        <v>60</v>
      </c>
      <c r="C7" s="25">
        <f t="shared" si="1"/>
        <v>22</v>
      </c>
      <c r="D7" s="25">
        <f t="shared" si="1"/>
        <v>38</v>
      </c>
      <c r="E7" s="25">
        <f t="shared" si="1"/>
        <v>0</v>
      </c>
      <c r="F7" s="25">
        <f t="shared" si="1"/>
        <v>0</v>
      </c>
      <c r="G7" s="26">
        <f>IF(B7=0,0,C7/B7)</f>
        <v>0.3666666667</v>
      </c>
      <c r="H7" s="25">
        <f>SUM(H4:H6)</f>
        <v>43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2026-10-18T02:59:17Z</dcterms:created>
  <dc:creator>openpyxl</dc:creator>
</cp:coreProperties>
</file>